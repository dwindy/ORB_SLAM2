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otpic-SLAM-Bon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<sst xmlns="http://schemas.openxmlformats.org/spreadsheetml/2006/main" count="264" uniqueCount="30">
  <si>
    <t xml:space="preserve">rgbd_dataset_freiburg2_desk_with_person</t>
  </si>
  <si>
    <t xml:space="preserve">metric</t>
  </si>
  <si>
    <t xml:space="preserve">mean</t>
  </si>
  <si>
    <t xml:space="preserve">std</t>
  </si>
  <si>
    <t xml:space="preserve">CameraTrajectory_01.txt</t>
  </si>
  <si>
    <t xml:space="preserve">CameraTrajectory_02.txt</t>
  </si>
  <si>
    <t xml:space="preserve">CameraTrajectory_03.txt</t>
  </si>
  <si>
    <t xml:space="preserve">CameraTrajectory_04.txt</t>
  </si>
  <si>
    <t xml:space="preserve">CameraTrajectory_05.txt</t>
  </si>
  <si>
    <t xml:space="preserve">CameraTrajectory_06.txt</t>
  </si>
  <si>
    <t xml:space="preserve">CameraTrajectory_07.txt</t>
  </si>
  <si>
    <t xml:space="preserve">CameraTrajectory_08.txt</t>
  </si>
  <si>
    <t xml:space="preserve">CameraTrajectory_09.txt</t>
  </si>
  <si>
    <t xml:space="preserve">CameraTrajectory_10.txt</t>
  </si>
  <si>
    <t xml:space="preserve">max</t>
  </si>
  <si>
    <t xml:space="preserve">median</t>
  </si>
  <si>
    <t xml:space="preserve">min</t>
  </si>
  <si>
    <t xml:space="preserve">rmse</t>
  </si>
  <si>
    <t xml:space="preserve">sse</t>
  </si>
  <si>
    <t xml:space="preserve">rgbd_dataset_freiburg3_sitting_halfsphere</t>
  </si>
  <si>
    <t xml:space="preserve">rgbd_dataset_freiburg3_sitting_rpy</t>
  </si>
  <si>
    <t xml:space="preserve">rgbd_dataset_freiburg3_sitting_static</t>
  </si>
  <si>
    <t xml:space="preserve">rgbd_dataset_freiburg3_sitting_xyz</t>
  </si>
  <si>
    <t xml:space="preserve">rgbd_dataset_freiburg3_walking_halfsphere</t>
  </si>
  <si>
    <r>
      <rPr>
        <sz val="10"/>
        <rFont val="Arial"/>
        <family val="2"/>
        <charset val="1"/>
      </rPr>
      <t xml:space="preserve">paper</t>
    </r>
    <r>
      <rPr>
        <sz val="10"/>
        <rFont val="Noto Sans CJK SC"/>
        <family val="2"/>
      </rPr>
      <t xml:space="preserve">结果</t>
    </r>
    <r>
      <rPr>
        <sz val="10"/>
        <rFont val="Arial"/>
        <family val="2"/>
        <charset val="1"/>
      </rPr>
      <t xml:space="preserve">0.025</t>
    </r>
  </si>
  <si>
    <t xml:space="preserve">rgbd_dataset_freiburg3_walking_rpy</t>
  </si>
  <si>
    <r>
      <rPr>
        <sz val="10"/>
        <rFont val="Arial"/>
        <family val="2"/>
        <charset val="1"/>
      </rPr>
      <t xml:space="preserve">paper</t>
    </r>
    <r>
      <rPr>
        <sz val="10"/>
        <rFont val="Noto Sans CJK SC"/>
        <family val="2"/>
      </rPr>
      <t xml:space="preserve">结果</t>
    </r>
    <r>
      <rPr>
        <sz val="10"/>
        <rFont val="Arial"/>
        <family val="2"/>
        <charset val="1"/>
      </rPr>
      <t xml:space="preserve">0.032</t>
    </r>
  </si>
  <si>
    <t xml:space="preserve">rgbd_dataset_freiburg3_walking_static</t>
  </si>
  <si>
    <r>
      <rPr>
        <sz val="10"/>
        <rFont val="Arial"/>
        <family val="2"/>
        <charset val="1"/>
      </rPr>
      <t xml:space="preserve">paper</t>
    </r>
    <r>
      <rPr>
        <sz val="10"/>
        <rFont val="Noto Sans CJK SC"/>
        <family val="2"/>
      </rPr>
      <t xml:space="preserve">结果</t>
    </r>
    <r>
      <rPr>
        <sz val="10"/>
        <rFont val="Arial"/>
        <family val="2"/>
        <charset val="1"/>
      </rPr>
      <t xml:space="preserve">0.009</t>
    </r>
  </si>
  <si>
    <t xml:space="preserve">rgbd_dataset_freiburg3_walking_xyz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</si>
</sst>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sz val="15"/>
      <name val="Arial"/>
      <family val="2"/>
      <charset val="1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04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A62" activeCellId="0" sqref="A62"/>
    </sheetView>
  </sheetViews>
  <sheetFormatPr defaultColWidth="11.625" defaultRowHeight="12.8" zeroHeight="false" outlineLevelRow="0" outlineLevelCol="0"/>
  <sheetData>
    <row r="1" customFormat="false" ht="18.55" hidden="false" customHeight="false" outlineLevel="0" collapsed="false">
      <c r="B1" s="1" t="s">
        <v>0</v>
      </c>
    </row>
    <row r="2" customFormat="false" ht="12.8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customFormat="false" ht="12.8" hidden="false" customHeight="false" outlineLevel="0" collapsed="false">
      <c r="B3" s="2" t="s">
        <v>14</v>
      </c>
      <c r="C3" s="2" t="n">
        <f aca="false">AVERAGE(F3:O3)</f>
        <v>0.0682959</v>
      </c>
      <c r="D3" s="2" t="n">
        <f aca="false">STDEV(F3:O3)</f>
        <v>0.00173905545563613</v>
      </c>
      <c r="E3" s="2" t="s">
        <v>14</v>
      </c>
      <c r="F3" s="2" t="n">
        <v>0.068644</v>
      </c>
      <c r="G3" s="2" t="n">
        <v>0.068445</v>
      </c>
      <c r="H3" s="2" t="n">
        <v>0.067714</v>
      </c>
      <c r="I3" s="2" t="n">
        <v>0.065141</v>
      </c>
      <c r="J3" s="2" t="n">
        <v>0.066174</v>
      </c>
      <c r="K3" s="2" t="n">
        <v>0.068848</v>
      </c>
      <c r="L3" s="2" t="n">
        <v>0.068779</v>
      </c>
      <c r="M3" s="2" t="n">
        <v>0.068819</v>
      </c>
      <c r="N3" s="2" t="n">
        <v>0.071653</v>
      </c>
      <c r="O3" s="2" t="n">
        <v>0.068742</v>
      </c>
    </row>
    <row r="4" customFormat="false" ht="18.55" hidden="false" customHeight="false" outlineLevel="0" collapsed="false">
      <c r="B4" s="1" t="s">
        <v>2</v>
      </c>
      <c r="C4" s="1" t="n">
        <f aca="false">AVERAGE(F4:O4)</f>
        <v>0.0120969</v>
      </c>
      <c r="D4" s="2" t="n">
        <f aca="false">STDEV(F4:O4)</f>
        <v>0.00131068603325807</v>
      </c>
      <c r="E4" s="2" t="s">
        <v>2</v>
      </c>
      <c r="F4" s="2" t="n">
        <v>0.011489</v>
      </c>
      <c r="G4" s="2" t="n">
        <v>0.013658</v>
      </c>
      <c r="H4" s="2" t="n">
        <v>0.01072</v>
      </c>
      <c r="I4" s="2" t="n">
        <v>0.010287</v>
      </c>
      <c r="J4" s="2" t="n">
        <v>0.011011</v>
      </c>
      <c r="K4" s="2" t="n">
        <v>0.011946</v>
      </c>
      <c r="L4" s="2" t="n">
        <v>0.01247</v>
      </c>
      <c r="M4" s="2" t="n">
        <v>0.011829</v>
      </c>
      <c r="N4" s="2" t="n">
        <v>0.014231</v>
      </c>
      <c r="O4" s="2" t="n">
        <v>0.013328</v>
      </c>
    </row>
    <row r="5" customFormat="false" ht="12.8" hidden="false" customHeight="false" outlineLevel="0" collapsed="false">
      <c r="B5" s="2" t="s">
        <v>15</v>
      </c>
      <c r="C5" s="2" t="n">
        <f aca="false">AVERAGE(F5:O5)</f>
        <v>0.0117556</v>
      </c>
      <c r="D5" s="2" t="n">
        <f aca="false">STDEV(F5:O5)</f>
        <v>0.00134566721988264</v>
      </c>
      <c r="E5" s="2" t="s">
        <v>15</v>
      </c>
      <c r="F5" s="2" t="n">
        <v>0.0114</v>
      </c>
      <c r="G5" s="2" t="n">
        <v>0.01298</v>
      </c>
      <c r="H5" s="2" t="n">
        <v>0.010111</v>
      </c>
      <c r="I5" s="2" t="n">
        <v>0.009894</v>
      </c>
      <c r="J5" s="2" t="n">
        <v>0.010838</v>
      </c>
      <c r="K5" s="2" t="n">
        <v>0.01142</v>
      </c>
      <c r="L5" s="2" t="n">
        <v>0.012247</v>
      </c>
      <c r="M5" s="2" t="n">
        <v>0.011389</v>
      </c>
      <c r="N5" s="2" t="n">
        <v>0.013839</v>
      </c>
      <c r="O5" s="2" t="n">
        <v>0.013438</v>
      </c>
    </row>
    <row r="6" customFormat="false" ht="12.8" hidden="false" customHeight="false" outlineLevel="0" collapsed="false">
      <c r="B6" s="2" t="s">
        <v>16</v>
      </c>
      <c r="C6" s="2" t="n">
        <f aca="false">AVERAGE(F6:O6)</f>
        <v>0.0016987</v>
      </c>
      <c r="D6" s="2" t="n">
        <f aca="false">STDEV(F6:O6)</f>
        <v>0.000726586241726794</v>
      </c>
      <c r="E6" s="2" t="s">
        <v>16</v>
      </c>
      <c r="F6" s="2" t="n">
        <v>0.001378</v>
      </c>
      <c r="G6" s="2" t="n">
        <v>0.002364</v>
      </c>
      <c r="H6" s="2" t="n">
        <v>0.000951</v>
      </c>
      <c r="I6" s="2" t="n">
        <v>0.000687</v>
      </c>
      <c r="J6" s="2" t="n">
        <v>0.001163</v>
      </c>
      <c r="K6" s="2" t="n">
        <v>0.001707</v>
      </c>
      <c r="L6" s="2" t="n">
        <v>0.001388</v>
      </c>
      <c r="M6" s="2" t="n">
        <v>0.002004</v>
      </c>
      <c r="N6" s="2" t="n">
        <v>0.003026</v>
      </c>
      <c r="O6" s="2" t="n">
        <v>0.002319</v>
      </c>
    </row>
    <row r="7" customFormat="false" ht="18.55" hidden="false" customHeight="false" outlineLevel="0" collapsed="false">
      <c r="B7" s="1" t="s">
        <v>17</v>
      </c>
      <c r="C7" s="1" t="n">
        <f aca="false">AVERAGE(F7:O7)</f>
        <v>0.0128975</v>
      </c>
      <c r="D7" s="2" t="n">
        <f aca="false">STDEV(F7:O7)</f>
        <v>0.00125498262493506</v>
      </c>
      <c r="E7" s="2" t="s">
        <v>17</v>
      </c>
      <c r="F7" s="2" t="n">
        <v>0.012296</v>
      </c>
      <c r="G7" s="2" t="n">
        <v>0.014454</v>
      </c>
      <c r="H7" s="2" t="n">
        <v>0.011542</v>
      </c>
      <c r="I7" s="2" t="n">
        <v>0.011268</v>
      </c>
      <c r="J7" s="2" t="n">
        <v>0.011813</v>
      </c>
      <c r="K7" s="2" t="n">
        <v>0.012739</v>
      </c>
      <c r="L7" s="2" t="n">
        <v>0.013228</v>
      </c>
      <c r="M7" s="2" t="n">
        <v>0.012661</v>
      </c>
      <c r="N7" s="2" t="n">
        <v>0.014976</v>
      </c>
      <c r="O7" s="2" t="n">
        <v>0.013998</v>
      </c>
    </row>
    <row r="8" customFormat="false" ht="12.8" hidden="false" customHeight="false" outlineLevel="0" collapsed="false">
      <c r="B8" s="2" t="s">
        <v>18</v>
      </c>
      <c r="C8" s="2" t="n">
        <f aca="false">AVERAGE(F8:O8)</f>
        <v>0.5930565</v>
      </c>
      <c r="D8" s="2" t="n">
        <f aca="false">STDEV(F8:O8)</f>
        <v>0.116339362473422</v>
      </c>
      <c r="E8" s="2" t="s">
        <v>18</v>
      </c>
      <c r="F8" s="2" t="n">
        <v>0.534484</v>
      </c>
      <c r="G8" s="2" t="n">
        <v>0.738553</v>
      </c>
      <c r="H8" s="2" t="n">
        <v>0.470947</v>
      </c>
      <c r="I8" s="2" t="n">
        <v>0.44886</v>
      </c>
      <c r="J8" s="2" t="n">
        <v>0.493327</v>
      </c>
      <c r="K8" s="2" t="n">
        <v>0.573662</v>
      </c>
      <c r="L8" s="2" t="n">
        <v>0.618538</v>
      </c>
      <c r="M8" s="2" t="n">
        <v>0.566652</v>
      </c>
      <c r="N8" s="2" t="n">
        <v>0.792835</v>
      </c>
      <c r="O8" s="2" t="n">
        <v>0.692707</v>
      </c>
    </row>
    <row r="9" customFormat="false" ht="18.55" hidden="false" customHeight="false" outlineLevel="0" collapsed="false">
      <c r="B9" s="1" t="s">
        <v>3</v>
      </c>
      <c r="C9" s="1" t="n">
        <f aca="false">AVERAGE(F9:O9)</f>
        <v>0.0044568</v>
      </c>
      <c r="D9" s="2" t="n">
        <f aca="false">STDEV(F9:O9)</f>
        <v>0.000164902530133544</v>
      </c>
      <c r="E9" s="2" t="s">
        <v>3</v>
      </c>
      <c r="F9" s="2" t="n">
        <v>0.004383</v>
      </c>
      <c r="G9" s="2" t="n">
        <v>0.004731</v>
      </c>
      <c r="H9" s="2" t="n">
        <v>0.004278</v>
      </c>
      <c r="I9" s="2" t="n">
        <v>0.0046</v>
      </c>
      <c r="J9" s="2" t="n">
        <v>0.00428</v>
      </c>
      <c r="K9" s="2" t="n">
        <v>0.004424</v>
      </c>
      <c r="L9" s="2" t="n">
        <v>0.004414</v>
      </c>
      <c r="M9" s="2" t="n">
        <v>0.004514</v>
      </c>
      <c r="N9" s="2" t="n">
        <v>0.004664</v>
      </c>
      <c r="O9" s="2" t="n">
        <v>0.00428</v>
      </c>
    </row>
    <row r="12" customFormat="false" ht="18.55" hidden="false" customHeight="false" outlineLevel="0" collapsed="false">
      <c r="B12" s="3" t="s">
        <v>19</v>
      </c>
    </row>
    <row r="13" customFormat="false" ht="12.8" hidden="false" customHeight="false" outlineLevel="0" collapsed="false">
      <c r="B13" s="2" t="s">
        <v>1</v>
      </c>
      <c r="C13" s="2" t="s">
        <v>2</v>
      </c>
      <c r="D13" s="2" t="s">
        <v>3</v>
      </c>
      <c r="E13" s="2" t="s">
        <v>1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2" t="s">
        <v>12</v>
      </c>
      <c r="O13" s="2" t="s">
        <v>13</v>
      </c>
    </row>
    <row r="14" customFormat="false" ht="12.8" hidden="false" customHeight="false" outlineLevel="0" collapsed="false">
      <c r="B14" s="2" t="s">
        <v>14</v>
      </c>
      <c r="C14" s="2" t="n">
        <f aca="false">AVERAGE(F14:O14)</f>
        <v>0.0676378</v>
      </c>
      <c r="D14" s="2" t="n">
        <f aca="false">STDEV(F14:O14)</f>
        <v>0.00998787679361557</v>
      </c>
      <c r="E14" s="2" t="s">
        <v>14</v>
      </c>
      <c r="F14" s="2" t="n">
        <v>0.06362</v>
      </c>
      <c r="G14" s="2" t="n">
        <v>0.070605</v>
      </c>
      <c r="H14" s="2" t="n">
        <v>0.062324</v>
      </c>
      <c r="I14" s="2" t="n">
        <v>0.065529</v>
      </c>
      <c r="J14" s="2" t="n">
        <v>0.057647</v>
      </c>
      <c r="K14" s="2" t="n">
        <v>0.063134</v>
      </c>
      <c r="L14" s="2" t="n">
        <v>0.083076</v>
      </c>
      <c r="M14" s="2" t="n">
        <v>0.086421</v>
      </c>
      <c r="N14" s="2" t="n">
        <v>0.056283</v>
      </c>
      <c r="O14" s="2" t="n">
        <v>0.067739</v>
      </c>
    </row>
    <row r="15" customFormat="false" ht="12.8" hidden="false" customHeight="false" outlineLevel="0" collapsed="false">
      <c r="B15" s="2" t="s">
        <v>2</v>
      </c>
      <c r="C15" s="2" t="n">
        <f aca="false">AVERAGE(F15:O15)</f>
        <v>0.0153528</v>
      </c>
      <c r="D15" s="2" t="n">
        <f aca="false">STDEV(F15:O15)</f>
        <v>0.000667488959542487</v>
      </c>
      <c r="E15" s="2" t="s">
        <v>2</v>
      </c>
      <c r="F15" s="2" t="n">
        <v>0.014861</v>
      </c>
      <c r="G15" s="2" t="n">
        <v>0.015264</v>
      </c>
      <c r="H15" s="2" t="n">
        <v>0.016557</v>
      </c>
      <c r="I15" s="2" t="n">
        <v>0.016153</v>
      </c>
      <c r="J15" s="2" t="n">
        <v>0.015185</v>
      </c>
      <c r="K15" s="2" t="n">
        <v>0.014471</v>
      </c>
      <c r="L15" s="2" t="n">
        <v>0.014779</v>
      </c>
      <c r="M15" s="2" t="n">
        <v>0.014981</v>
      </c>
      <c r="N15" s="2" t="n">
        <v>0.01598</v>
      </c>
      <c r="O15" s="2" t="n">
        <v>0.015297</v>
      </c>
    </row>
    <row r="16" customFormat="false" ht="12.8" hidden="false" customHeight="false" outlineLevel="0" collapsed="false">
      <c r="B16" s="2" t="s">
        <v>15</v>
      </c>
      <c r="C16" s="2" t="n">
        <f aca="false">AVERAGE(F16:O16)</f>
        <v>0.0138149</v>
      </c>
      <c r="D16" s="2" t="n">
        <f aca="false">STDEV(F16:O16)</f>
        <v>0.000656024127266334</v>
      </c>
      <c r="E16" s="2" t="s">
        <v>15</v>
      </c>
      <c r="F16" s="2" t="n">
        <v>0.013706</v>
      </c>
      <c r="G16" s="2" t="n">
        <v>0.013921</v>
      </c>
      <c r="H16" s="2" t="n">
        <v>0.014745</v>
      </c>
      <c r="I16" s="2" t="n">
        <v>0.014453</v>
      </c>
      <c r="J16" s="2" t="n">
        <v>0.013633</v>
      </c>
      <c r="K16" s="2" t="n">
        <v>0.012926</v>
      </c>
      <c r="L16" s="2" t="n">
        <v>0.013255</v>
      </c>
      <c r="M16" s="2" t="n">
        <v>0.013112</v>
      </c>
      <c r="N16" s="2" t="n">
        <v>0.01477</v>
      </c>
      <c r="O16" s="2" t="n">
        <v>0.013628</v>
      </c>
    </row>
    <row r="17" customFormat="false" ht="12.8" hidden="false" customHeight="false" outlineLevel="0" collapsed="false">
      <c r="B17" s="2" t="s">
        <v>16</v>
      </c>
      <c r="C17" s="2" t="n">
        <f aca="false">AVERAGE(F17:O17)</f>
        <v>0.0013823</v>
      </c>
      <c r="D17" s="2" t="n">
        <f aca="false">STDEV(F17:O17)</f>
        <v>0.000524249315158775</v>
      </c>
      <c r="E17" s="2" t="s">
        <v>16</v>
      </c>
      <c r="F17" s="2" t="n">
        <v>0.001051</v>
      </c>
      <c r="G17" s="2" t="n">
        <v>0.000533</v>
      </c>
      <c r="H17" s="2" t="n">
        <v>0.00122</v>
      </c>
      <c r="I17" s="2" t="n">
        <v>0.001832</v>
      </c>
      <c r="J17" s="2" t="n">
        <v>0.001527</v>
      </c>
      <c r="K17" s="2" t="n">
        <v>0.000722</v>
      </c>
      <c r="L17" s="2" t="n">
        <v>0.002021</v>
      </c>
      <c r="M17" s="2" t="n">
        <v>0.001424</v>
      </c>
      <c r="N17" s="2" t="n">
        <v>0.002122</v>
      </c>
      <c r="O17" s="2" t="n">
        <v>0.001371</v>
      </c>
    </row>
    <row r="18" customFormat="false" ht="12.8" hidden="false" customHeight="false" outlineLevel="0" collapsed="false">
      <c r="B18" s="2" t="s">
        <v>17</v>
      </c>
      <c r="C18" s="2" t="n">
        <f aca="false">AVERAGE(F18:O18)</f>
        <v>0.0175078</v>
      </c>
      <c r="D18" s="2" t="n">
        <f aca="false">STDEV(F18:O18)</f>
        <v>0.000744841787824024</v>
      </c>
      <c r="E18" s="2" t="s">
        <v>17</v>
      </c>
      <c r="F18" s="2" t="n">
        <v>0.016697</v>
      </c>
      <c r="G18" s="2" t="n">
        <v>0.017552</v>
      </c>
      <c r="H18" s="2" t="n">
        <v>0.018983</v>
      </c>
      <c r="I18" s="2" t="n">
        <v>0.018246</v>
      </c>
      <c r="J18" s="2" t="n">
        <v>0.017346</v>
      </c>
      <c r="K18" s="2" t="n">
        <v>0.016478</v>
      </c>
      <c r="L18" s="2" t="n">
        <v>0.016987</v>
      </c>
      <c r="M18" s="2" t="n">
        <v>0.017301</v>
      </c>
      <c r="N18" s="2" t="n">
        <v>0.017968</v>
      </c>
      <c r="O18" s="2" t="n">
        <v>0.01752</v>
      </c>
    </row>
    <row r="19" customFormat="false" ht="12.8" hidden="false" customHeight="false" outlineLevel="0" collapsed="false">
      <c r="B19" s="2" t="s">
        <v>18</v>
      </c>
      <c r="C19" s="2" t="n">
        <f aca="false">AVERAGE(F19:O19)</f>
        <v>0.3282111</v>
      </c>
      <c r="D19" s="2" t="n">
        <f aca="false">STDEV(F19:O19)</f>
        <v>0.0281951062871635</v>
      </c>
      <c r="E19" s="2" t="s">
        <v>18</v>
      </c>
      <c r="F19" s="2" t="n">
        <v>0.298042</v>
      </c>
      <c r="G19" s="2" t="n">
        <v>0.329346</v>
      </c>
      <c r="H19" s="2" t="n">
        <v>0.385228</v>
      </c>
      <c r="I19" s="2" t="n">
        <v>0.355881</v>
      </c>
      <c r="J19" s="2" t="n">
        <v>0.32163</v>
      </c>
      <c r="K19" s="2" t="n">
        <v>0.290273</v>
      </c>
      <c r="L19" s="2" t="n">
        <v>0.30846</v>
      </c>
      <c r="M19" s="2" t="n">
        <v>0.319994</v>
      </c>
      <c r="N19" s="2" t="n">
        <v>0.345135</v>
      </c>
      <c r="O19" s="2" t="n">
        <v>0.328122</v>
      </c>
    </row>
    <row r="20" customFormat="false" ht="12.8" hidden="false" customHeight="false" outlineLevel="0" collapsed="false">
      <c r="B20" s="2" t="s">
        <v>3</v>
      </c>
      <c r="C20" s="2" t="n">
        <f aca="false">AVERAGE(F20:O20)</f>
        <v>0.0084099</v>
      </c>
      <c r="D20" s="2" t="n">
        <f aca="false">STDEV(F20:O20)</f>
        <v>0.000455321241908758</v>
      </c>
      <c r="E20" s="2" t="s">
        <v>3</v>
      </c>
      <c r="F20" s="2" t="n">
        <v>0.007614</v>
      </c>
      <c r="G20" s="2" t="n">
        <v>0.008665</v>
      </c>
      <c r="H20" s="2" t="n">
        <v>0.009286</v>
      </c>
      <c r="I20" s="2" t="n">
        <v>0.008485</v>
      </c>
      <c r="J20" s="2" t="n">
        <v>0.008383</v>
      </c>
      <c r="K20" s="2" t="n">
        <v>0.007883</v>
      </c>
      <c r="L20" s="2" t="n">
        <v>0.008374</v>
      </c>
      <c r="M20" s="2" t="n">
        <v>0.008654</v>
      </c>
      <c r="N20" s="2" t="n">
        <v>0.008215</v>
      </c>
      <c r="O20" s="2" t="n">
        <v>0.00854</v>
      </c>
    </row>
    <row r="23" customFormat="false" ht="18.55" hidden="false" customHeight="false" outlineLevel="0" collapsed="false">
      <c r="B23" s="3" t="s">
        <v>20</v>
      </c>
    </row>
    <row r="24" customFormat="false" ht="12.8" hidden="false" customHeight="false" outlineLevel="0" collapsed="false">
      <c r="B24" s="2" t="s">
        <v>1</v>
      </c>
      <c r="C24" s="2" t="s">
        <v>2</v>
      </c>
      <c r="D24" s="2" t="s">
        <v>3</v>
      </c>
      <c r="E24" s="2" t="s">
        <v>1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8</v>
      </c>
      <c r="K24" s="2" t="s">
        <v>9</v>
      </c>
      <c r="L24" s="2" t="s">
        <v>10</v>
      </c>
      <c r="M24" s="2" t="s">
        <v>11</v>
      </c>
      <c r="N24" s="2" t="s">
        <v>12</v>
      </c>
      <c r="O24" s="2" t="s">
        <v>13</v>
      </c>
    </row>
    <row r="25" customFormat="false" ht="12.8" hidden="false" customHeight="false" outlineLevel="0" collapsed="false">
      <c r="B25" s="2" t="s">
        <v>14</v>
      </c>
      <c r="C25" s="2" t="n">
        <f aca="false">AVERAGE(F25:O25)</f>
        <v>0.1549642</v>
      </c>
      <c r="D25" s="2" t="n">
        <f aca="false">STDEV(F25:O25)</f>
        <v>0.0300992525296633</v>
      </c>
      <c r="E25" s="2" t="s">
        <v>14</v>
      </c>
      <c r="F25" s="2" t="n">
        <v>0.207116</v>
      </c>
      <c r="G25" s="2" t="n">
        <v>0.135329</v>
      </c>
      <c r="H25" s="2" t="n">
        <v>0.106708</v>
      </c>
      <c r="I25" s="2" t="n">
        <v>0.175809</v>
      </c>
      <c r="J25" s="2" t="n">
        <v>0.170285</v>
      </c>
      <c r="K25" s="2" t="n">
        <v>0.119128</v>
      </c>
      <c r="L25" s="2" t="n">
        <v>0.167665</v>
      </c>
      <c r="M25" s="2" t="n">
        <v>0.139959</v>
      </c>
      <c r="N25" s="2" t="n">
        <v>0.153266</v>
      </c>
      <c r="O25" s="2" t="n">
        <v>0.174377</v>
      </c>
    </row>
    <row r="26" customFormat="false" ht="12.8" hidden="false" customHeight="false" outlineLevel="0" collapsed="false">
      <c r="B26" s="2" t="s">
        <v>2</v>
      </c>
      <c r="C26" s="2" t="n">
        <f aca="false">AVERAGE(F26:O26)</f>
        <v>0.0243069</v>
      </c>
      <c r="D26" s="2" t="n">
        <f aca="false">STDEV(F26:O26)</f>
        <v>0.00201047796694108</v>
      </c>
      <c r="E26" s="2" t="s">
        <v>2</v>
      </c>
      <c r="F26" s="2" t="n">
        <v>0.025441</v>
      </c>
      <c r="G26" s="2" t="n">
        <v>0.023192</v>
      </c>
      <c r="H26" s="2" t="n">
        <v>0.024514</v>
      </c>
      <c r="I26" s="2" t="n">
        <v>0.022705</v>
      </c>
      <c r="J26" s="2" t="n">
        <v>0.021824</v>
      </c>
      <c r="K26" s="2" t="n">
        <v>0.025941</v>
      </c>
      <c r="L26" s="2" t="n">
        <v>0.028302</v>
      </c>
      <c r="M26" s="2" t="n">
        <v>0.023708</v>
      </c>
      <c r="N26" s="2" t="n">
        <v>0.022078</v>
      </c>
      <c r="O26" s="2" t="n">
        <v>0.025364</v>
      </c>
    </row>
    <row r="27" customFormat="false" ht="12.8" hidden="false" customHeight="false" outlineLevel="0" collapsed="false">
      <c r="B27" s="2" t="s">
        <v>15</v>
      </c>
      <c r="C27" s="2" t="n">
        <f aca="false">AVERAGE(F27:O27)</f>
        <v>0.0150106</v>
      </c>
      <c r="D27" s="2" t="n">
        <f aca="false">STDEV(F27:O27)</f>
        <v>0.000733728408730218</v>
      </c>
      <c r="E27" s="2" t="s">
        <v>15</v>
      </c>
      <c r="F27" s="2" t="n">
        <v>0.014524</v>
      </c>
      <c r="G27" s="2" t="n">
        <v>0.015814</v>
      </c>
      <c r="H27" s="2" t="n">
        <v>0.013384</v>
      </c>
      <c r="I27" s="2" t="n">
        <v>0.015088</v>
      </c>
      <c r="J27" s="2" t="n">
        <v>0.015805</v>
      </c>
      <c r="K27" s="2" t="n">
        <v>0.015357</v>
      </c>
      <c r="L27" s="2" t="n">
        <v>0.015669</v>
      </c>
      <c r="M27" s="2" t="n">
        <v>0.01487</v>
      </c>
      <c r="N27" s="2" t="n">
        <v>0.014708</v>
      </c>
      <c r="O27" s="2" t="n">
        <v>0.014887</v>
      </c>
    </row>
    <row r="28" customFormat="false" ht="12.8" hidden="false" customHeight="false" outlineLevel="0" collapsed="false">
      <c r="B28" s="2" t="s">
        <v>16</v>
      </c>
      <c r="C28" s="2" t="n">
        <f aca="false">AVERAGE(F28:O28)</f>
        <v>0.0013809</v>
      </c>
      <c r="D28" s="2" t="n">
        <f aca="false">STDEV(F28:O28)</f>
        <v>0.000607742535033454</v>
      </c>
      <c r="E28" s="2" t="s">
        <v>16</v>
      </c>
      <c r="F28" s="2" t="n">
        <v>0.000894</v>
      </c>
      <c r="G28" s="2" t="n">
        <v>0.001398</v>
      </c>
      <c r="H28" s="2" t="n">
        <v>0.000428</v>
      </c>
      <c r="I28" s="2" t="n">
        <v>0.002374</v>
      </c>
      <c r="J28" s="2" t="n">
        <v>0.001374</v>
      </c>
      <c r="K28" s="2" t="n">
        <v>0.001066</v>
      </c>
      <c r="L28" s="2" t="n">
        <v>0.001177</v>
      </c>
      <c r="M28" s="2" t="n">
        <v>0.002364</v>
      </c>
      <c r="N28" s="2" t="n">
        <v>0.001573</v>
      </c>
      <c r="O28" s="2" t="n">
        <v>0.001161</v>
      </c>
    </row>
    <row r="29" customFormat="false" ht="12.8" hidden="false" customHeight="false" outlineLevel="0" collapsed="false">
      <c r="B29" s="2" t="s">
        <v>17</v>
      </c>
      <c r="C29" s="2" t="n">
        <f aca="false">AVERAGE(F29:O29)</f>
        <v>0.0350197</v>
      </c>
      <c r="D29" s="2" t="n">
        <f aca="false">STDEV(F29:O29)</f>
        <v>0.00412830974424697</v>
      </c>
      <c r="E29" s="2" t="s">
        <v>17</v>
      </c>
      <c r="F29" s="2" t="n">
        <v>0.038133</v>
      </c>
      <c r="G29" s="2" t="n">
        <v>0.032555</v>
      </c>
      <c r="H29" s="2" t="n">
        <v>0.036226</v>
      </c>
      <c r="I29" s="2" t="n">
        <v>0.03196</v>
      </c>
      <c r="J29" s="2" t="n">
        <v>0.029466</v>
      </c>
      <c r="K29" s="2" t="n">
        <v>0.037075</v>
      </c>
      <c r="L29" s="2" t="n">
        <v>0.04324</v>
      </c>
      <c r="M29" s="2" t="n">
        <v>0.034103</v>
      </c>
      <c r="N29" s="2" t="n">
        <v>0.030562</v>
      </c>
      <c r="O29" s="2" t="n">
        <v>0.036877</v>
      </c>
    </row>
    <row r="30" customFormat="false" ht="12.8" hidden="false" customHeight="false" outlineLevel="0" collapsed="false">
      <c r="B30" s="2" t="s">
        <v>18</v>
      </c>
      <c r="C30" s="2" t="n">
        <f aca="false">AVERAGE(F30:O30)</f>
        <v>0.9834436</v>
      </c>
      <c r="D30" s="2" t="n">
        <f aca="false">STDEV(F30:O30)</f>
        <v>0.235839987391734</v>
      </c>
      <c r="E30" s="2" t="s">
        <v>18</v>
      </c>
      <c r="F30" s="2" t="n">
        <v>1.151684</v>
      </c>
      <c r="G30" s="2" t="n">
        <v>0.839404</v>
      </c>
      <c r="H30" s="2" t="n">
        <v>1.039334</v>
      </c>
      <c r="I30" s="2" t="n">
        <v>0.808961</v>
      </c>
      <c r="J30" s="2" t="n">
        <v>0.687664</v>
      </c>
      <c r="K30" s="2" t="n">
        <v>1.088656</v>
      </c>
      <c r="L30" s="2" t="n">
        <v>1.480814</v>
      </c>
      <c r="M30" s="2" t="n">
        <v>0.921082</v>
      </c>
      <c r="N30" s="2" t="n">
        <v>0.739769</v>
      </c>
      <c r="O30" s="2" t="n">
        <v>1.077068</v>
      </c>
    </row>
    <row r="31" customFormat="false" ht="12.8" hidden="false" customHeight="false" outlineLevel="0" collapsed="false">
      <c r="B31" s="2" t="s">
        <v>3</v>
      </c>
      <c r="C31" s="2" t="n">
        <f aca="false">AVERAGE(F31:O31)</f>
        <v>0.025181</v>
      </c>
      <c r="D31" s="2" t="n">
        <f aca="false">STDEV(F31:O31)</f>
        <v>0.00382579203128799</v>
      </c>
      <c r="E31" s="2" t="s">
        <v>3</v>
      </c>
      <c r="F31" s="2" t="n">
        <v>0.028406</v>
      </c>
      <c r="G31" s="2" t="n">
        <v>0.022847</v>
      </c>
      <c r="H31" s="2" t="n">
        <v>0.026671</v>
      </c>
      <c r="I31" s="2" t="n">
        <v>0.022492</v>
      </c>
      <c r="J31" s="2" t="n">
        <v>0.019799</v>
      </c>
      <c r="K31" s="2" t="n">
        <v>0.026489</v>
      </c>
      <c r="L31" s="2" t="n">
        <v>0.032691</v>
      </c>
      <c r="M31" s="2" t="n">
        <v>0.024513</v>
      </c>
      <c r="N31" s="2" t="n">
        <v>0.021133</v>
      </c>
      <c r="O31" s="2" t="n">
        <v>0.026769</v>
      </c>
    </row>
    <row r="34" customFormat="false" ht="18.55" hidden="false" customHeight="false" outlineLevel="0" collapsed="false">
      <c r="B34" s="3" t="s">
        <v>21</v>
      </c>
    </row>
    <row r="35" customFormat="false" ht="12.8" hidden="false" customHeight="false" outlineLevel="0" collapsed="false">
      <c r="B35" s="2" t="s">
        <v>1</v>
      </c>
      <c r="C35" s="2" t="s">
        <v>2</v>
      </c>
      <c r="D35" s="2" t="s">
        <v>3</v>
      </c>
      <c r="E35" s="2" t="s">
        <v>1</v>
      </c>
      <c r="F35" s="2" t="s">
        <v>4</v>
      </c>
      <c r="G35" s="2" t="s">
        <v>5</v>
      </c>
      <c r="H35" s="2" t="s">
        <v>6</v>
      </c>
      <c r="I35" s="2" t="s">
        <v>7</v>
      </c>
      <c r="J35" s="2" t="s">
        <v>8</v>
      </c>
      <c r="K35" s="2" t="s">
        <v>9</v>
      </c>
      <c r="L35" s="2" t="s">
        <v>10</v>
      </c>
      <c r="M35" s="2" t="s">
        <v>11</v>
      </c>
      <c r="N35" s="2" t="s">
        <v>12</v>
      </c>
      <c r="O35" s="2" t="s">
        <v>13</v>
      </c>
    </row>
    <row r="36" customFormat="false" ht="12.8" hidden="false" customHeight="false" outlineLevel="0" collapsed="false">
      <c r="B36" s="2" t="s">
        <v>14</v>
      </c>
      <c r="C36" s="2" t="n">
        <f aca="false">AVERAGE(F36:O36)</f>
        <v>0.0292131</v>
      </c>
      <c r="D36" s="2" t="n">
        <f aca="false">STDEV(F36:O36)</f>
        <v>0.00299918768446836</v>
      </c>
      <c r="E36" s="2" t="s">
        <v>14</v>
      </c>
      <c r="F36" s="2" t="n">
        <v>0.026366</v>
      </c>
      <c r="G36" s="2" t="n">
        <v>0.02768</v>
      </c>
      <c r="H36" s="2" t="n">
        <v>0.030251</v>
      </c>
      <c r="I36" s="2" t="n">
        <v>0.031989</v>
      </c>
      <c r="J36" s="2" t="n">
        <v>0.029326</v>
      </c>
      <c r="K36" s="2" t="n">
        <v>0.034097</v>
      </c>
      <c r="L36" s="2" t="n">
        <v>0.025666</v>
      </c>
      <c r="M36" s="2" t="n">
        <v>0.030899</v>
      </c>
      <c r="N36" s="2" t="n">
        <v>0.031021</v>
      </c>
      <c r="O36" s="2" t="n">
        <v>0.024836</v>
      </c>
    </row>
    <row r="37" customFormat="false" ht="18.55" hidden="false" customHeight="false" outlineLevel="0" collapsed="false">
      <c r="B37" s="1" t="s">
        <v>2</v>
      </c>
      <c r="C37" s="1" t="n">
        <f aca="false">AVERAGE(F37:O37)</f>
        <v>0.005987</v>
      </c>
      <c r="D37" s="2" t="n">
        <f aca="false">STDEV(F37:O37)</f>
        <v>0.000330181768121742</v>
      </c>
      <c r="E37" s="2" t="s">
        <v>2</v>
      </c>
      <c r="F37" s="2" t="n">
        <v>0.005728</v>
      </c>
      <c r="G37" s="2" t="n">
        <v>0.006225</v>
      </c>
      <c r="H37" s="2" t="n">
        <v>0.005883</v>
      </c>
      <c r="I37" s="2" t="n">
        <v>0.006284</v>
      </c>
      <c r="J37" s="2" t="n">
        <v>0.005778</v>
      </c>
      <c r="K37" s="2" t="n">
        <v>0.006475</v>
      </c>
      <c r="L37" s="2" t="n">
        <v>0.005637</v>
      </c>
      <c r="M37" s="2" t="n">
        <v>0.00547</v>
      </c>
      <c r="N37" s="2" t="n">
        <v>0.006183</v>
      </c>
      <c r="O37" s="2" t="n">
        <v>0.006207</v>
      </c>
    </row>
    <row r="38" customFormat="false" ht="12.8" hidden="false" customHeight="false" outlineLevel="0" collapsed="false">
      <c r="B38" s="2" t="s">
        <v>15</v>
      </c>
      <c r="C38" s="2" t="n">
        <f aca="false">AVERAGE(F38:O38)</f>
        <v>0.0053355</v>
      </c>
      <c r="D38" s="2" t="n">
        <f aca="false">STDEV(F38:O38)</f>
        <v>0.000379169340649912</v>
      </c>
      <c r="E38" s="2" t="s">
        <v>15</v>
      </c>
      <c r="F38" s="2" t="n">
        <v>0.005118</v>
      </c>
      <c r="G38" s="2" t="n">
        <v>0.005599</v>
      </c>
      <c r="H38" s="2" t="n">
        <v>0.005156</v>
      </c>
      <c r="I38" s="2" t="n">
        <v>0.005778</v>
      </c>
      <c r="J38" s="2" t="n">
        <v>0.005028</v>
      </c>
      <c r="K38" s="2" t="n">
        <v>0.005794</v>
      </c>
      <c r="L38" s="2" t="n">
        <v>0.00499</v>
      </c>
      <c r="M38" s="2" t="n">
        <v>0.00471</v>
      </c>
      <c r="N38" s="2" t="n">
        <v>0.005551</v>
      </c>
      <c r="O38" s="2" t="n">
        <v>0.005631</v>
      </c>
    </row>
    <row r="39" customFormat="false" ht="12.8" hidden="false" customHeight="false" outlineLevel="0" collapsed="false">
      <c r="B39" s="2" t="s">
        <v>16</v>
      </c>
      <c r="C39" s="2" t="n">
        <f aca="false">AVERAGE(F39:O39)</f>
        <v>0.00041</v>
      </c>
      <c r="D39" s="2" t="n">
        <f aca="false">STDEV(F39:O39)</f>
        <v>0.000226805839626957</v>
      </c>
      <c r="E39" s="2" t="s">
        <v>16</v>
      </c>
      <c r="F39" s="2" t="n">
        <v>0.000851</v>
      </c>
      <c r="G39" s="2" t="n">
        <v>0.000476</v>
      </c>
      <c r="H39" s="2" t="n">
        <v>0.000388</v>
      </c>
      <c r="I39" s="2" t="n">
        <v>0.000277</v>
      </c>
      <c r="J39" s="2" t="n">
        <v>0.000325</v>
      </c>
      <c r="K39" s="2" t="n">
        <v>0.000343</v>
      </c>
      <c r="L39" s="2" t="n">
        <v>0.000345</v>
      </c>
      <c r="M39" s="2" t="n">
        <v>0.000187</v>
      </c>
      <c r="N39" s="2" t="n">
        <v>0.000157</v>
      </c>
      <c r="O39" s="2" t="n">
        <v>0.000751</v>
      </c>
    </row>
    <row r="40" customFormat="false" ht="18.55" hidden="false" customHeight="false" outlineLevel="0" collapsed="false">
      <c r="B40" s="1" t="s">
        <v>17</v>
      </c>
      <c r="C40" s="1" t="n">
        <f aca="false">AVERAGE(F40:O40)</f>
        <v>0.0069826</v>
      </c>
      <c r="D40" s="2" t="n">
        <f aca="false">STDEV(F40:O40)</f>
        <v>0.000317580156111108</v>
      </c>
      <c r="E40" s="2" t="s">
        <v>17</v>
      </c>
      <c r="F40" s="2" t="n">
        <v>0.006677</v>
      </c>
      <c r="G40" s="2" t="n">
        <v>0.007173</v>
      </c>
      <c r="H40" s="2" t="n">
        <v>0.006897</v>
      </c>
      <c r="I40" s="2" t="n">
        <v>0.007228</v>
      </c>
      <c r="J40" s="2" t="n">
        <v>0.006824</v>
      </c>
      <c r="K40" s="2" t="n">
        <v>0.007561</v>
      </c>
      <c r="L40" s="2" t="n">
        <v>0.006632</v>
      </c>
      <c r="M40" s="2" t="n">
        <v>0.006573</v>
      </c>
      <c r="N40" s="2" t="n">
        <v>0.007221</v>
      </c>
      <c r="O40" s="2" t="n">
        <v>0.00704</v>
      </c>
    </row>
    <row r="41" customFormat="false" ht="12.8" hidden="false" customHeight="false" outlineLevel="0" collapsed="false">
      <c r="B41" s="2" t="s">
        <v>18</v>
      </c>
      <c r="C41" s="2" t="n">
        <f aca="false">AVERAGE(F41:O41)</f>
        <v>0.0330221</v>
      </c>
      <c r="D41" s="2" t="n">
        <f aca="false">STDEV(F41:O41)</f>
        <v>0.00302006344488177</v>
      </c>
      <c r="E41" s="2" t="s">
        <v>18</v>
      </c>
      <c r="F41" s="2" t="n">
        <v>0.030142</v>
      </c>
      <c r="G41" s="2" t="n">
        <v>0.034782</v>
      </c>
      <c r="H41" s="2" t="n">
        <v>0.032161</v>
      </c>
      <c r="I41" s="2" t="n">
        <v>0.035322</v>
      </c>
      <c r="J41" s="2" t="n">
        <v>0.031479</v>
      </c>
      <c r="K41" s="2" t="n">
        <v>0.038648</v>
      </c>
      <c r="L41" s="2" t="n">
        <v>0.029729</v>
      </c>
      <c r="M41" s="2" t="n">
        <v>0.029202</v>
      </c>
      <c r="N41" s="2" t="n">
        <v>0.035249</v>
      </c>
      <c r="O41" s="2" t="n">
        <v>0.033507</v>
      </c>
    </row>
    <row r="42" customFormat="false" ht="18.55" hidden="false" customHeight="false" outlineLevel="0" collapsed="false">
      <c r="B42" s="1" t="s">
        <v>3</v>
      </c>
      <c r="C42" s="1" t="n">
        <f aca="false">AVERAGE(F42:O42)</f>
        <v>0.0035891</v>
      </c>
      <c r="D42" s="2" t="n">
        <f aca="false">STDEV(F42:O42)</f>
        <v>0.000159803664260589</v>
      </c>
      <c r="E42" s="2" t="s">
        <v>3</v>
      </c>
      <c r="F42" s="2" t="n">
        <v>0.003432</v>
      </c>
      <c r="G42" s="2" t="n">
        <v>0.003563</v>
      </c>
      <c r="H42" s="2" t="n">
        <v>0.0036</v>
      </c>
      <c r="I42" s="2" t="n">
        <v>0.003572</v>
      </c>
      <c r="J42" s="2" t="n">
        <v>0.003631</v>
      </c>
      <c r="K42" s="2" t="n">
        <v>0.003904</v>
      </c>
      <c r="L42" s="2" t="n">
        <v>0.003494</v>
      </c>
      <c r="M42" s="2" t="n">
        <v>0.003643</v>
      </c>
      <c r="N42" s="2" t="n">
        <v>0.00373</v>
      </c>
      <c r="O42" s="2" t="n">
        <v>0.003322</v>
      </c>
    </row>
    <row r="45" customFormat="false" ht="18.55" hidden="false" customHeight="false" outlineLevel="0" collapsed="false">
      <c r="B45" s="1" t="s">
        <v>22</v>
      </c>
    </row>
    <row r="46" customFormat="false" ht="12.8" hidden="false" customHeight="false" outlineLevel="0" collapsed="false">
      <c r="B46" s="2" t="s">
        <v>1</v>
      </c>
      <c r="C46" s="2" t="s">
        <v>2</v>
      </c>
      <c r="D46" s="2" t="s">
        <v>3</v>
      </c>
      <c r="E46" s="2" t="s">
        <v>1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8</v>
      </c>
      <c r="K46" s="2" t="s">
        <v>9</v>
      </c>
      <c r="L46" s="2" t="s">
        <v>10</v>
      </c>
      <c r="M46" s="2" t="s">
        <v>11</v>
      </c>
      <c r="N46" s="2" t="s">
        <v>12</v>
      </c>
      <c r="O46" s="2" t="s">
        <v>13</v>
      </c>
    </row>
    <row r="47" customFormat="false" ht="12.8" hidden="false" customHeight="false" outlineLevel="0" collapsed="false">
      <c r="B47" s="2" t="s">
        <v>14</v>
      </c>
      <c r="C47" s="2" t="n">
        <f aca="false">AVERAGE(F47:O47)</f>
        <v>0.072239</v>
      </c>
      <c r="D47" s="2" t="n">
        <f aca="false">STDEV(F47:O47)</f>
        <v>0.0150503643883536</v>
      </c>
      <c r="E47" s="2" t="s">
        <v>14</v>
      </c>
      <c r="F47" s="2" t="n">
        <v>0.089906</v>
      </c>
      <c r="G47" s="2" t="n">
        <v>0.09604</v>
      </c>
      <c r="H47" s="2" t="n">
        <v>0.072805</v>
      </c>
      <c r="I47" s="2" t="n">
        <v>0.065401</v>
      </c>
      <c r="J47" s="2" t="n">
        <v>0.064267</v>
      </c>
      <c r="K47" s="2" t="n">
        <v>0.087036</v>
      </c>
      <c r="L47" s="2" t="n">
        <v>0.063107</v>
      </c>
      <c r="M47" s="2" t="n">
        <v>0.068056</v>
      </c>
      <c r="N47" s="2" t="n">
        <v>0.070486</v>
      </c>
      <c r="O47" s="2" t="n">
        <v>0.045286</v>
      </c>
    </row>
    <row r="48" customFormat="false" ht="18.55" hidden="false" customHeight="false" outlineLevel="0" collapsed="false">
      <c r="B48" s="1" t="s">
        <v>2</v>
      </c>
      <c r="C48" s="1" t="n">
        <f aca="false">AVERAGE(F48:O48)</f>
        <v>0.0118924</v>
      </c>
      <c r="D48" s="2" t="n">
        <f aca="false">STDEV(F48:O48)</f>
        <v>0.000762316965281211</v>
      </c>
      <c r="E48" s="2" t="s">
        <v>2</v>
      </c>
      <c r="F48" s="2" t="n">
        <v>0.011047</v>
      </c>
      <c r="G48" s="2" t="n">
        <v>0.012924</v>
      </c>
      <c r="H48" s="2" t="n">
        <v>0.011401</v>
      </c>
      <c r="I48" s="2" t="n">
        <v>0.010989</v>
      </c>
      <c r="J48" s="2" t="n">
        <v>0.011964</v>
      </c>
      <c r="K48" s="2" t="n">
        <v>0.011883</v>
      </c>
      <c r="L48" s="2" t="n">
        <v>0.013406</v>
      </c>
      <c r="M48" s="2" t="n">
        <v>0.011933</v>
      </c>
      <c r="N48" s="2" t="n">
        <v>0.011609</v>
      </c>
      <c r="O48" s="2" t="n">
        <v>0.011768</v>
      </c>
    </row>
    <row r="49" customFormat="false" ht="12.8" hidden="false" customHeight="false" outlineLevel="0" collapsed="false">
      <c r="B49" s="2" t="s">
        <v>15</v>
      </c>
      <c r="C49" s="2" t="n">
        <f aca="false">AVERAGE(F49:O49)</f>
        <v>0.0110776</v>
      </c>
      <c r="D49" s="2" t="n">
        <f aca="false">STDEV(F49:O49)</f>
        <v>0.000781027129988311</v>
      </c>
      <c r="E49" s="2" t="s">
        <v>15</v>
      </c>
      <c r="F49" s="2" t="n">
        <v>0.010253</v>
      </c>
      <c r="G49" s="2" t="n">
        <v>0.012145</v>
      </c>
      <c r="H49" s="2" t="n">
        <v>0.010847</v>
      </c>
      <c r="I49" s="2" t="n">
        <v>0.009942</v>
      </c>
      <c r="J49" s="2" t="n">
        <v>0.011225</v>
      </c>
      <c r="K49" s="2" t="n">
        <v>0.010786</v>
      </c>
      <c r="L49" s="2" t="n">
        <v>0.012477</v>
      </c>
      <c r="M49" s="2" t="n">
        <v>0.011425</v>
      </c>
      <c r="N49" s="2" t="n">
        <v>0.010721</v>
      </c>
      <c r="O49" s="2" t="n">
        <v>0.010955</v>
      </c>
    </row>
    <row r="50" customFormat="false" ht="12.8" hidden="false" customHeight="false" outlineLevel="0" collapsed="false">
      <c r="B50" s="2" t="s">
        <v>16</v>
      </c>
      <c r="C50" s="2" t="n">
        <f aca="false">AVERAGE(F50:O50)</f>
        <v>0.0008805</v>
      </c>
      <c r="D50" s="2" t="n">
        <f aca="false">STDEV(F50:O50)</f>
        <v>0.000326657227754789</v>
      </c>
      <c r="E50" s="2" t="s">
        <v>16</v>
      </c>
      <c r="F50" s="2" t="n">
        <v>0.000792</v>
      </c>
      <c r="G50" s="2" t="n">
        <v>0.000563</v>
      </c>
      <c r="H50" s="2" t="n">
        <v>0.000741</v>
      </c>
      <c r="I50" s="2" t="n">
        <v>0.000605</v>
      </c>
      <c r="J50" s="2" t="n">
        <v>0.001243</v>
      </c>
      <c r="K50" s="2" t="n">
        <v>0.000837</v>
      </c>
      <c r="L50" s="2" t="n">
        <v>0.000753</v>
      </c>
      <c r="M50" s="2" t="n">
        <v>0.00126</v>
      </c>
      <c r="N50" s="2" t="n">
        <v>0.00147</v>
      </c>
      <c r="O50" s="2" t="n">
        <v>0.000541</v>
      </c>
    </row>
    <row r="51" customFormat="false" ht="18.55" hidden="false" customHeight="false" outlineLevel="0" collapsed="false">
      <c r="A51" s="0" t="n">
        <v>0.0234</v>
      </c>
      <c r="B51" s="1" t="s">
        <v>17</v>
      </c>
      <c r="C51" s="1" t="n">
        <f aca="false">AVERAGE(F51:O51)</f>
        <v>0.0133036</v>
      </c>
      <c r="D51" s="2" t="n">
        <f aca="false">STDEV(F51:O51)</f>
        <v>0.000829131031060029</v>
      </c>
      <c r="E51" s="2" t="s">
        <v>17</v>
      </c>
      <c r="F51" s="2" t="n">
        <v>0.012518</v>
      </c>
      <c r="G51" s="2" t="n">
        <v>0.014415</v>
      </c>
      <c r="H51" s="2" t="n">
        <v>0.012821</v>
      </c>
      <c r="I51" s="2" t="n">
        <v>0.012258</v>
      </c>
      <c r="J51" s="2" t="n">
        <v>0.013321</v>
      </c>
      <c r="K51" s="2" t="n">
        <v>0.013439</v>
      </c>
      <c r="L51" s="2" t="n">
        <v>0.014983</v>
      </c>
      <c r="M51" s="2" t="n">
        <v>0.013242</v>
      </c>
      <c r="N51" s="2" t="n">
        <v>0.012973</v>
      </c>
      <c r="O51" s="2" t="n">
        <v>0.013066</v>
      </c>
    </row>
    <row r="52" customFormat="false" ht="12.8" hidden="false" customHeight="false" outlineLevel="0" collapsed="false">
      <c r="B52" s="2" t="s">
        <v>18</v>
      </c>
      <c r="C52" s="2" t="n">
        <f aca="false">AVERAGE(F52:O52)</f>
        <v>0.2159628</v>
      </c>
      <c r="D52" s="2" t="n">
        <f aca="false">STDEV(F52:O52)</f>
        <v>0.0275410058914178</v>
      </c>
      <c r="E52" s="2" t="s">
        <v>18</v>
      </c>
      <c r="F52" s="2" t="n">
        <v>0.190534</v>
      </c>
      <c r="G52" s="2" t="n">
        <v>0.252682</v>
      </c>
      <c r="H52" s="2" t="n">
        <v>0.199882</v>
      </c>
      <c r="I52" s="2" t="n">
        <v>0.182719</v>
      </c>
      <c r="J52" s="2" t="n">
        <v>0.215778</v>
      </c>
      <c r="K52" s="2" t="n">
        <v>0.219607</v>
      </c>
      <c r="L52" s="2" t="n">
        <v>0.272964</v>
      </c>
      <c r="M52" s="2" t="n">
        <v>0.213215</v>
      </c>
      <c r="N52" s="2" t="n">
        <v>0.204662</v>
      </c>
      <c r="O52" s="2" t="n">
        <v>0.207585</v>
      </c>
    </row>
    <row r="53" customFormat="false" ht="18.55" hidden="false" customHeight="false" outlineLevel="0" collapsed="false">
      <c r="B53" s="1" t="s">
        <v>3</v>
      </c>
      <c r="C53" s="1" t="n">
        <f aca="false">AVERAGE(F53:O53)</f>
        <v>0.00596</v>
      </c>
      <c r="D53" s="2" t="n">
        <f aca="false">STDEV(F53:O53)</f>
        <v>0.000376236332346808</v>
      </c>
      <c r="E53" s="2" t="s">
        <v>3</v>
      </c>
      <c r="F53" s="2" t="n">
        <v>0.005886</v>
      </c>
      <c r="G53" s="2" t="n">
        <v>0.006386</v>
      </c>
      <c r="H53" s="2" t="n">
        <v>0.005864</v>
      </c>
      <c r="I53" s="2" t="n">
        <v>0.005431</v>
      </c>
      <c r="J53" s="2" t="n">
        <v>0.005858</v>
      </c>
      <c r="K53" s="2" t="n">
        <v>0.006276</v>
      </c>
      <c r="L53" s="2" t="n">
        <v>0.006689</v>
      </c>
      <c r="M53" s="2" t="n">
        <v>0.005741</v>
      </c>
      <c r="N53" s="2" t="n">
        <v>0.005792</v>
      </c>
      <c r="O53" s="2" t="n">
        <v>0.005677</v>
      </c>
    </row>
    <row r="56" customFormat="false" ht="18.55" hidden="false" customHeight="false" outlineLevel="0" collapsed="false">
      <c r="B56" s="1" t="s">
        <v>23</v>
      </c>
    </row>
    <row r="57" customFormat="false" ht="12.8" hidden="false" customHeight="false" outlineLevel="0" collapsed="false">
      <c r="B57" s="2" t="s">
        <v>1</v>
      </c>
      <c r="C57" s="2" t="s">
        <v>2</v>
      </c>
      <c r="D57" s="2" t="s">
        <v>3</v>
      </c>
      <c r="E57" s="2" t="s">
        <v>1</v>
      </c>
      <c r="F57" s="2" t="s">
        <v>4</v>
      </c>
      <c r="G57" s="2" t="s">
        <v>5</v>
      </c>
      <c r="H57" s="2" t="s">
        <v>6</v>
      </c>
      <c r="I57" s="2" t="s">
        <v>7</v>
      </c>
      <c r="J57" s="2" t="s">
        <v>8</v>
      </c>
      <c r="K57" s="2" t="s">
        <v>9</v>
      </c>
      <c r="L57" s="2" t="s">
        <v>10</v>
      </c>
      <c r="M57" s="2" t="s">
        <v>11</v>
      </c>
      <c r="N57" s="2" t="s">
        <v>12</v>
      </c>
      <c r="O57" s="2" t="s">
        <v>13</v>
      </c>
    </row>
    <row r="58" customFormat="false" ht="12.8" hidden="false" customHeight="false" outlineLevel="0" collapsed="false">
      <c r="B58" s="2" t="s">
        <v>14</v>
      </c>
      <c r="C58" s="2" t="n">
        <f aca="false">AVERAGE(F58:O58)</f>
        <v>0.0813704</v>
      </c>
      <c r="D58" s="2" t="n">
        <f aca="false">STDEV(F58:O58)</f>
        <v>0.0140679295104543</v>
      </c>
      <c r="E58" s="2" t="s">
        <v>14</v>
      </c>
      <c r="F58" s="2" t="n">
        <v>0.080874</v>
      </c>
      <c r="G58" s="2" t="n">
        <v>0.075919</v>
      </c>
      <c r="H58" s="2" t="n">
        <v>0.082506</v>
      </c>
      <c r="I58" s="2" t="n">
        <v>0.112037</v>
      </c>
      <c r="J58" s="2" t="n">
        <v>0.080381</v>
      </c>
      <c r="K58" s="2" t="n">
        <v>0.063292</v>
      </c>
      <c r="L58" s="2" t="n">
        <v>0.068345</v>
      </c>
      <c r="M58" s="2" t="n">
        <v>0.096504</v>
      </c>
      <c r="N58" s="2" t="n">
        <v>0.072264</v>
      </c>
      <c r="O58" s="2" t="n">
        <v>0.081582</v>
      </c>
    </row>
    <row r="59" customFormat="false" ht="18.55" hidden="false" customHeight="false" outlineLevel="0" collapsed="false">
      <c r="B59" s="1" t="s">
        <v>2</v>
      </c>
      <c r="C59" s="1" t="n">
        <f aca="false">AVERAGE(F59:O59)</f>
        <v>0.0235282</v>
      </c>
      <c r="D59" s="2" t="n">
        <f aca="false">STDEV(F59:O59)</f>
        <v>0.00172584805562689</v>
      </c>
      <c r="E59" s="2" t="s">
        <v>2</v>
      </c>
      <c r="F59" s="2" t="n">
        <v>0.024086</v>
      </c>
      <c r="G59" s="2" t="n">
        <v>0.022618</v>
      </c>
      <c r="H59" s="2" t="n">
        <v>0.02343</v>
      </c>
      <c r="I59" s="2" t="n">
        <v>0.026606</v>
      </c>
      <c r="J59" s="2" t="n">
        <v>0.022759</v>
      </c>
      <c r="K59" s="2" t="n">
        <v>0.02165</v>
      </c>
      <c r="L59" s="2" t="n">
        <v>0.022175</v>
      </c>
      <c r="M59" s="2" t="n">
        <v>0.026498</v>
      </c>
      <c r="N59" s="2" t="n">
        <v>0.022995</v>
      </c>
      <c r="O59" s="2" t="n">
        <v>0.022465</v>
      </c>
    </row>
    <row r="60" customFormat="false" ht="12.8" hidden="false" customHeight="false" outlineLevel="0" collapsed="false">
      <c r="B60" s="2" t="s">
        <v>15</v>
      </c>
      <c r="C60" s="2" t="n">
        <f aca="false">AVERAGE(F60:O60)</f>
        <v>0.0210053</v>
      </c>
      <c r="D60" s="2" t="n">
        <f aca="false">STDEV(F60:O60)</f>
        <v>0.00160485998350843</v>
      </c>
      <c r="E60" s="2" t="s">
        <v>15</v>
      </c>
      <c r="F60" s="2" t="n">
        <v>0.021393</v>
      </c>
      <c r="G60" s="2" t="n">
        <v>0.019455</v>
      </c>
      <c r="H60" s="2" t="n">
        <v>0.020113</v>
      </c>
      <c r="I60" s="2" t="n">
        <v>0.023051</v>
      </c>
      <c r="J60" s="2" t="n">
        <v>0.020503</v>
      </c>
      <c r="K60" s="2" t="n">
        <v>0.019982</v>
      </c>
      <c r="L60" s="2" t="n">
        <v>0.019629</v>
      </c>
      <c r="M60" s="2" t="n">
        <v>0.024499</v>
      </c>
      <c r="N60" s="2" t="n">
        <v>0.020519</v>
      </c>
      <c r="O60" s="2" t="n">
        <v>0.020909</v>
      </c>
    </row>
    <row r="61" customFormat="false" ht="12.8" hidden="false" customHeight="false" outlineLevel="0" collapsed="false">
      <c r="B61" s="2" t="s">
        <v>16</v>
      </c>
      <c r="C61" s="2" t="n">
        <f aca="false">AVERAGE(F61:O61)</f>
        <v>0.0018069</v>
      </c>
      <c r="D61" s="2" t="n">
        <f aca="false">STDEV(F61:O61)</f>
        <v>0.00085451590583987</v>
      </c>
      <c r="E61" s="2" t="s">
        <v>16</v>
      </c>
      <c r="F61" s="2" t="n">
        <v>0.0023</v>
      </c>
      <c r="G61" s="2" t="n">
        <v>0.001054</v>
      </c>
      <c r="H61" s="2" t="n">
        <v>0.001613</v>
      </c>
      <c r="I61" s="2" t="n">
        <v>0.003095</v>
      </c>
      <c r="J61" s="2" t="n">
        <v>0.000823</v>
      </c>
      <c r="K61" s="2" t="n">
        <v>0.001076</v>
      </c>
      <c r="L61" s="2" t="n">
        <v>0.002277</v>
      </c>
      <c r="M61" s="2" t="n">
        <v>0.002132</v>
      </c>
      <c r="N61" s="2" t="n">
        <v>0.000793</v>
      </c>
      <c r="O61" s="2" t="n">
        <v>0.002906</v>
      </c>
    </row>
    <row r="62" customFormat="false" ht="18.55" hidden="false" customHeight="false" outlineLevel="0" collapsed="false">
      <c r="A62" s="0" t="s">
        <v>24</v>
      </c>
      <c r="B62" s="1" t="s">
        <v>17</v>
      </c>
      <c r="C62" s="1" t="n">
        <f aca="false">AVERAGE(F62:O62)</f>
        <v>0.0269278</v>
      </c>
      <c r="D62" s="2" t="n">
        <f aca="false">STDEV(F62:O62)</f>
        <v>0.00210902598898691</v>
      </c>
      <c r="E62" s="2" t="s">
        <v>17</v>
      </c>
      <c r="F62" s="2" t="n">
        <v>0.027283</v>
      </c>
      <c r="G62" s="2" t="n">
        <v>0.025854</v>
      </c>
      <c r="H62" s="2" t="n">
        <v>0.02714</v>
      </c>
      <c r="I62" s="2" t="n">
        <v>0.030902</v>
      </c>
      <c r="J62" s="2" t="n">
        <v>0.025853</v>
      </c>
      <c r="K62" s="2" t="n">
        <v>0.024696</v>
      </c>
      <c r="L62" s="2" t="n">
        <v>0.025269</v>
      </c>
      <c r="M62" s="2" t="n">
        <v>0.030352</v>
      </c>
      <c r="N62" s="2" t="n">
        <v>0.026436</v>
      </c>
      <c r="O62" s="2" t="n">
        <v>0.025493</v>
      </c>
    </row>
    <row r="63" customFormat="false" ht="12.8" hidden="false" customHeight="false" outlineLevel="0" collapsed="false">
      <c r="B63" s="2" t="s">
        <v>18</v>
      </c>
      <c r="C63" s="2" t="n">
        <f aca="false">AVERAGE(F63:O63)</f>
        <v>0.7415141</v>
      </c>
      <c r="D63" s="2" t="n">
        <f aca="false">STDEV(F63:O63)</f>
        <v>0.119943909943542</v>
      </c>
      <c r="E63" s="2" t="s">
        <v>18</v>
      </c>
      <c r="F63" s="2" t="n">
        <v>0.757022</v>
      </c>
      <c r="G63" s="2" t="n">
        <v>0.679796</v>
      </c>
      <c r="H63" s="2" t="n">
        <v>0.749099</v>
      </c>
      <c r="I63" s="2" t="n">
        <v>0.97119</v>
      </c>
      <c r="J63" s="2" t="n">
        <v>0.679753</v>
      </c>
      <c r="K63" s="2" t="n">
        <v>0.620263</v>
      </c>
      <c r="L63" s="2" t="n">
        <v>0.6494</v>
      </c>
      <c r="M63" s="2" t="n">
        <v>0.936917</v>
      </c>
      <c r="N63" s="2" t="n">
        <v>0.710753</v>
      </c>
      <c r="O63" s="2" t="n">
        <v>0.660948</v>
      </c>
    </row>
    <row r="64" customFormat="false" ht="18.55" hidden="false" customHeight="false" outlineLevel="0" collapsed="false">
      <c r="B64" s="1" t="s">
        <v>3</v>
      </c>
      <c r="C64" s="1" t="n">
        <f aca="false">AVERAGE(F64:O64)</f>
        <v>0.0130915</v>
      </c>
      <c r="D64" s="2" t="n">
        <f aca="false">STDEV(F64:O64)</f>
        <v>0.00128144278495417</v>
      </c>
      <c r="E64" s="2" t="s">
        <v>3</v>
      </c>
      <c r="F64" s="2" t="n">
        <v>0.012815</v>
      </c>
      <c r="G64" s="2" t="n">
        <v>0.012524</v>
      </c>
      <c r="H64" s="2" t="n">
        <v>0.013697</v>
      </c>
      <c r="I64" s="2" t="n">
        <v>0.015719</v>
      </c>
      <c r="J64" s="2" t="n">
        <v>0.012265</v>
      </c>
      <c r="K64" s="2" t="n">
        <v>0.011882</v>
      </c>
      <c r="L64" s="2" t="n">
        <v>0.012117</v>
      </c>
      <c r="M64" s="2" t="n">
        <v>0.014803</v>
      </c>
      <c r="N64" s="2" t="n">
        <v>0.013042</v>
      </c>
      <c r="O64" s="2" t="n">
        <v>0.012051</v>
      </c>
    </row>
    <row r="68" customFormat="false" ht="18.55" hidden="false" customHeight="false" outlineLevel="0" collapsed="false">
      <c r="B68" s="1" t="s">
        <v>25</v>
      </c>
    </row>
    <row r="69" customFormat="false" ht="12.8" hidden="false" customHeight="false" outlineLevel="0" collapsed="false">
      <c r="B69" s="2" t="s">
        <v>1</v>
      </c>
      <c r="C69" s="2" t="s">
        <v>2</v>
      </c>
      <c r="D69" s="2" t="s">
        <v>3</v>
      </c>
      <c r="E69" s="2" t="s">
        <v>1</v>
      </c>
      <c r="F69" s="2" t="s">
        <v>4</v>
      </c>
      <c r="G69" s="2" t="s">
        <v>5</v>
      </c>
      <c r="H69" s="2" t="s">
        <v>6</v>
      </c>
      <c r="I69" s="2" t="s">
        <v>7</v>
      </c>
      <c r="J69" s="2" t="s">
        <v>8</v>
      </c>
      <c r="K69" s="2" t="s">
        <v>9</v>
      </c>
      <c r="L69" s="2" t="s">
        <v>10</v>
      </c>
      <c r="M69" s="2" t="s">
        <v>11</v>
      </c>
      <c r="N69" s="2" t="s">
        <v>12</v>
      </c>
      <c r="O69" s="2" t="s">
        <v>13</v>
      </c>
    </row>
    <row r="70" customFormat="false" ht="12.8" hidden="false" customHeight="false" outlineLevel="0" collapsed="false">
      <c r="B70" s="2" t="s">
        <v>14</v>
      </c>
      <c r="C70" s="2" t="n">
        <f aca="false">AVERAGE(F70:O70)</f>
        <v>0.2082419</v>
      </c>
      <c r="D70" s="2" t="n">
        <f aca="false">STDEV(F70:O70)</f>
        <v>0.0447383315500006</v>
      </c>
      <c r="E70" s="2" t="s">
        <v>14</v>
      </c>
      <c r="F70" s="2" t="n">
        <v>0.148049</v>
      </c>
      <c r="G70" s="2" t="n">
        <v>0.240859</v>
      </c>
      <c r="H70" s="2" t="n">
        <v>0.265206</v>
      </c>
      <c r="I70" s="2" t="n">
        <v>0.24894</v>
      </c>
      <c r="J70" s="2" t="n">
        <v>0.147086</v>
      </c>
      <c r="K70" s="2" t="n">
        <v>0.193061</v>
      </c>
      <c r="L70" s="2" t="n">
        <v>0.190214</v>
      </c>
      <c r="M70" s="2" t="n">
        <v>0.233129</v>
      </c>
      <c r="N70" s="2" t="n">
        <v>0.166043</v>
      </c>
      <c r="O70" s="2" t="n">
        <v>0.249832</v>
      </c>
    </row>
    <row r="71" customFormat="false" ht="18.55" hidden="false" customHeight="false" outlineLevel="0" collapsed="false">
      <c r="B71" s="1" t="s">
        <v>2</v>
      </c>
      <c r="C71" s="1" t="n">
        <f aca="false">AVERAGE(F71:O71)</f>
        <v>0.0289336</v>
      </c>
      <c r="D71" s="2" t="n">
        <f aca="false">STDEV(F71:O71)</f>
        <v>0.00283125234167183</v>
      </c>
      <c r="E71" s="2" t="s">
        <v>2</v>
      </c>
      <c r="F71" s="2" t="n">
        <v>0.028201</v>
      </c>
      <c r="G71" s="2" t="n">
        <v>0.028058</v>
      </c>
      <c r="H71" s="2" t="n">
        <v>0.032039</v>
      </c>
      <c r="I71" s="2" t="n">
        <v>0.035014</v>
      </c>
      <c r="J71" s="2" t="n">
        <v>0.026551</v>
      </c>
      <c r="K71" s="2" t="n">
        <v>0.02569</v>
      </c>
      <c r="L71" s="2" t="n">
        <v>0.027275</v>
      </c>
      <c r="M71" s="2" t="n">
        <v>0.030255</v>
      </c>
      <c r="N71" s="2" t="n">
        <v>0.027071</v>
      </c>
      <c r="O71" s="2" t="n">
        <v>0.029182</v>
      </c>
    </row>
    <row r="72" customFormat="false" ht="12.8" hidden="false" customHeight="false" outlineLevel="0" collapsed="false">
      <c r="B72" s="2" t="s">
        <v>15</v>
      </c>
      <c r="C72" s="2" t="n">
        <f aca="false">AVERAGE(F72:O72)</f>
        <v>0.0218028</v>
      </c>
      <c r="D72" s="2" t="n">
        <f aca="false">STDEV(F72:O72)</f>
        <v>0.00129915218508072</v>
      </c>
      <c r="E72" s="2" t="s">
        <v>15</v>
      </c>
      <c r="F72" s="2" t="n">
        <v>0.022508</v>
      </c>
      <c r="G72" s="2" t="n">
        <v>0.022418</v>
      </c>
      <c r="H72" s="2" t="n">
        <v>0.02183</v>
      </c>
      <c r="I72" s="2" t="n">
        <v>0.023268</v>
      </c>
      <c r="J72" s="2" t="n">
        <v>0.02154</v>
      </c>
      <c r="K72" s="2" t="n">
        <v>0.019412</v>
      </c>
      <c r="L72" s="2" t="n">
        <v>0.020207</v>
      </c>
      <c r="M72" s="2" t="n">
        <v>0.023627</v>
      </c>
      <c r="N72" s="2" t="n">
        <v>0.021144</v>
      </c>
      <c r="O72" s="2" t="n">
        <v>0.022074</v>
      </c>
    </row>
    <row r="73" customFormat="false" ht="12.8" hidden="false" customHeight="false" outlineLevel="0" collapsed="false">
      <c r="B73" s="2" t="s">
        <v>16</v>
      </c>
      <c r="C73" s="2" t="n">
        <f aca="false">AVERAGE(F73:O73)</f>
        <v>0.0020099</v>
      </c>
      <c r="D73" s="2" t="n">
        <f aca="false">STDEV(F73:O73)</f>
        <v>0.000601015150483839</v>
      </c>
      <c r="E73" s="2" t="s">
        <v>16</v>
      </c>
      <c r="F73" s="2" t="n">
        <v>0.001626</v>
      </c>
      <c r="G73" s="2" t="n">
        <v>0.002607</v>
      </c>
      <c r="H73" s="2" t="n">
        <v>0.001811</v>
      </c>
      <c r="I73" s="2" t="n">
        <v>0.002108</v>
      </c>
      <c r="J73" s="2" t="n">
        <v>0.003002</v>
      </c>
      <c r="K73" s="2" t="n">
        <v>0.001167</v>
      </c>
      <c r="L73" s="2" t="n">
        <v>0.001941</v>
      </c>
      <c r="M73" s="2" t="n">
        <v>0.002248</v>
      </c>
      <c r="N73" s="2" t="n">
        <v>0.002446</v>
      </c>
      <c r="O73" s="2" t="n">
        <v>0.001143</v>
      </c>
    </row>
    <row r="74" customFormat="false" ht="18.55" hidden="false" customHeight="false" outlineLevel="0" collapsed="false">
      <c r="A74" s="0" t="s">
        <v>26</v>
      </c>
      <c r="B74" s="1" t="s">
        <v>17</v>
      </c>
      <c r="C74" s="1" t="n">
        <f aca="false">AVERAGE(F74:O74)</f>
        <v>0.0380139</v>
      </c>
      <c r="D74" s="2" t="n">
        <f aca="false">STDEV(F74:O74)</f>
        <v>0.00606014291085615</v>
      </c>
      <c r="E74" s="2" t="s">
        <v>17</v>
      </c>
      <c r="F74" s="2" t="n">
        <v>0.034506</v>
      </c>
      <c r="G74" s="2" t="n">
        <v>0.035941</v>
      </c>
      <c r="H74" s="2" t="n">
        <v>0.045283</v>
      </c>
      <c r="I74" s="2" t="n">
        <v>0.050652</v>
      </c>
      <c r="J74" s="2" t="n">
        <v>0.03189</v>
      </c>
      <c r="K74" s="2" t="n">
        <v>0.032417</v>
      </c>
      <c r="L74" s="2" t="n">
        <v>0.03515</v>
      </c>
      <c r="M74" s="2" t="n">
        <v>0.0395</v>
      </c>
      <c r="N74" s="2" t="n">
        <v>0.034131</v>
      </c>
      <c r="O74" s="2" t="n">
        <v>0.040669</v>
      </c>
    </row>
    <row r="75" customFormat="false" ht="12.8" hidden="false" customHeight="false" outlineLevel="0" collapsed="false">
      <c r="B75" s="2" t="s">
        <v>18</v>
      </c>
      <c r="C75" s="2" t="n">
        <f aca="false">AVERAGE(F75:O75)</f>
        <v>1.2770829</v>
      </c>
      <c r="D75" s="2" t="n">
        <f aca="false">STDEV(F75:O75)</f>
        <v>0.428866906292086</v>
      </c>
      <c r="E75" s="2" t="s">
        <v>18</v>
      </c>
      <c r="F75" s="2" t="n">
        <v>1.028711</v>
      </c>
      <c r="G75" s="2" t="n">
        <v>1.116081</v>
      </c>
      <c r="H75" s="2" t="n">
        <v>1.771642</v>
      </c>
      <c r="I75" s="2" t="n">
        <v>2.216695</v>
      </c>
      <c r="J75" s="2" t="n">
        <v>0.878658</v>
      </c>
      <c r="K75" s="2" t="n">
        <v>0.907929</v>
      </c>
      <c r="L75" s="2" t="n">
        <v>1.067511</v>
      </c>
      <c r="M75" s="2" t="n">
        <v>1.34805</v>
      </c>
      <c r="N75" s="2" t="n">
        <v>1.006514</v>
      </c>
      <c r="O75" s="2" t="n">
        <v>1.429038</v>
      </c>
    </row>
    <row r="76" customFormat="false" ht="18.55" hidden="false" customHeight="false" outlineLevel="0" collapsed="false">
      <c r="B76" s="1" t="s">
        <v>3</v>
      </c>
      <c r="C76" s="1" t="n">
        <f aca="false">AVERAGE(F76:O76)</f>
        <v>0.0245063</v>
      </c>
      <c r="D76" s="2" t="n">
        <f aca="false">STDEV(F76:O76)</f>
        <v>0.00607279670241717</v>
      </c>
      <c r="E76" s="2" t="s">
        <v>3</v>
      </c>
      <c r="F76" s="2" t="n">
        <v>0.019883</v>
      </c>
      <c r="G76" s="2" t="n">
        <v>0.022462</v>
      </c>
      <c r="H76" s="2" t="n">
        <v>0.032001</v>
      </c>
      <c r="I76" s="2" t="n">
        <v>0.036601</v>
      </c>
      <c r="J76" s="2" t="n">
        <v>0.017664</v>
      </c>
      <c r="K76" s="2" t="n">
        <v>0.019771</v>
      </c>
      <c r="L76" s="2" t="n">
        <v>0.022173</v>
      </c>
      <c r="M76" s="2" t="n">
        <v>0.025394</v>
      </c>
      <c r="N76" s="2" t="n">
        <v>0.020787</v>
      </c>
      <c r="O76" s="2" t="n">
        <v>0.028327</v>
      </c>
    </row>
    <row r="81" customFormat="false" ht="18.55" hidden="false" customHeight="false" outlineLevel="0" collapsed="false">
      <c r="B81" s="1" t="s">
        <v>27</v>
      </c>
    </row>
    <row r="82" customFormat="false" ht="12.8" hidden="false" customHeight="false" outlineLevel="0" collapsed="false">
      <c r="B82" s="2" t="s">
        <v>1</v>
      </c>
      <c r="C82" s="2" t="s">
        <v>2</v>
      </c>
      <c r="D82" s="2" t="s">
        <v>3</v>
      </c>
      <c r="E82" s="2" t="s">
        <v>1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8</v>
      </c>
      <c r="K82" s="2" t="s">
        <v>9</v>
      </c>
      <c r="L82" s="2" t="s">
        <v>10</v>
      </c>
      <c r="M82" s="2" t="s">
        <v>11</v>
      </c>
      <c r="N82" s="2" t="s">
        <v>12</v>
      </c>
      <c r="O82" s="2" t="s">
        <v>13</v>
      </c>
    </row>
    <row r="83" customFormat="false" ht="12.8" hidden="false" customHeight="false" outlineLevel="0" collapsed="false">
      <c r="B83" s="2" t="s">
        <v>14</v>
      </c>
      <c r="C83" s="2" t="n">
        <f aca="false">AVERAGE(F83:O83)</f>
        <v>0.0391097</v>
      </c>
      <c r="D83" s="2" t="n">
        <f aca="false">STDEV(F83:O83)</f>
        <v>0.0180090518354274</v>
      </c>
      <c r="E83" s="2" t="s">
        <v>14</v>
      </c>
      <c r="F83" s="2" t="n">
        <v>0.075285</v>
      </c>
      <c r="G83" s="2" t="n">
        <v>0.049586</v>
      </c>
      <c r="H83" s="2" t="n">
        <v>0.028554</v>
      </c>
      <c r="I83" s="2" t="n">
        <v>0.023706</v>
      </c>
      <c r="J83" s="2" t="n">
        <v>0.028739</v>
      </c>
      <c r="K83" s="2" t="n">
        <v>0.064586</v>
      </c>
      <c r="L83" s="2" t="n">
        <v>0.036357</v>
      </c>
      <c r="M83" s="2" t="n">
        <v>0.024123</v>
      </c>
      <c r="N83" s="2" t="n">
        <v>0.030139</v>
      </c>
      <c r="O83" s="2" t="n">
        <v>0.030022</v>
      </c>
    </row>
    <row r="84" customFormat="false" ht="18.55" hidden="false" customHeight="false" outlineLevel="0" collapsed="false">
      <c r="B84" s="1" t="s">
        <v>2</v>
      </c>
      <c r="C84" s="1" t="n">
        <f aca="false">AVERAGE(F84:O84)</f>
        <v>0.0099824</v>
      </c>
      <c r="D84" s="2" t="n">
        <f aca="false">STDEV(F84:O84)</f>
        <v>0.00227502289121572</v>
      </c>
      <c r="E84" s="2" t="s">
        <v>2</v>
      </c>
      <c r="F84" s="2" t="n">
        <v>0.011671</v>
      </c>
      <c r="G84" s="2" t="n">
        <v>0.015095</v>
      </c>
      <c r="H84" s="2" t="n">
        <v>0.010103</v>
      </c>
      <c r="I84" s="2" t="n">
        <v>0.008365</v>
      </c>
      <c r="J84" s="2" t="n">
        <v>0.00885</v>
      </c>
      <c r="K84" s="2" t="n">
        <v>0.011831</v>
      </c>
      <c r="L84" s="2" t="n">
        <v>0.009064</v>
      </c>
      <c r="M84" s="2" t="n">
        <v>0.008255</v>
      </c>
      <c r="N84" s="2" t="n">
        <v>0.008903</v>
      </c>
      <c r="O84" s="2" t="n">
        <v>0.007687</v>
      </c>
    </row>
    <row r="85" customFormat="false" ht="12.8" hidden="false" customHeight="false" outlineLevel="0" collapsed="false">
      <c r="B85" s="2" t="s">
        <v>15</v>
      </c>
      <c r="C85" s="2" t="n">
        <f aca="false">AVERAGE(F85:O85)</f>
        <v>0.0088673</v>
      </c>
      <c r="D85" s="2" t="n">
        <f aca="false">STDEV(F85:O85)</f>
        <v>0.00154529601982562</v>
      </c>
      <c r="E85" s="2" t="s">
        <v>15</v>
      </c>
      <c r="F85" s="2" t="n">
        <v>0.00956</v>
      </c>
      <c r="G85" s="2" t="n">
        <v>0.012758</v>
      </c>
      <c r="H85" s="2" t="n">
        <v>0.009172</v>
      </c>
      <c r="I85" s="2" t="n">
        <v>0.008093</v>
      </c>
      <c r="J85" s="2" t="n">
        <v>0.008326</v>
      </c>
      <c r="K85" s="2" t="n">
        <v>0.009274</v>
      </c>
      <c r="L85" s="2" t="n">
        <v>0.008444</v>
      </c>
      <c r="M85" s="2" t="n">
        <v>0.007719</v>
      </c>
      <c r="N85" s="2" t="n">
        <v>0.008068</v>
      </c>
      <c r="O85" s="2" t="n">
        <v>0.007259</v>
      </c>
    </row>
    <row r="86" customFormat="false" ht="12.8" hidden="false" customHeight="false" outlineLevel="0" collapsed="false">
      <c r="B86" s="2" t="s">
        <v>16</v>
      </c>
      <c r="C86" s="2" t="n">
        <f aca="false">AVERAGE(F86:O86)</f>
        <v>0.0008615</v>
      </c>
      <c r="D86" s="2" t="n">
        <f aca="false">STDEV(F86:O86)</f>
        <v>0.000487146624060286</v>
      </c>
      <c r="E86" s="2" t="s">
        <v>16</v>
      </c>
      <c r="F86" s="2" t="n">
        <v>0.001092</v>
      </c>
      <c r="G86" s="2" t="n">
        <v>0.001535</v>
      </c>
      <c r="H86" s="2" t="n">
        <v>0.001733</v>
      </c>
      <c r="I86" s="2" t="n">
        <v>0.000262</v>
      </c>
      <c r="J86" s="2" t="n">
        <v>0.000518</v>
      </c>
      <c r="K86" s="2" t="n">
        <v>0.000621</v>
      </c>
      <c r="L86" s="2" t="n">
        <v>0.001022</v>
      </c>
      <c r="M86" s="2" t="n">
        <v>0.000679</v>
      </c>
      <c r="N86" s="2" t="n">
        <v>0.000339</v>
      </c>
      <c r="O86" s="2" t="n">
        <v>0.000814</v>
      </c>
    </row>
    <row r="87" customFormat="false" ht="18.55" hidden="false" customHeight="false" outlineLevel="0" collapsed="false">
      <c r="A87" s="0" t="s">
        <v>28</v>
      </c>
      <c r="B87" s="1" t="s">
        <v>17</v>
      </c>
      <c r="C87" s="1" t="n">
        <f aca="false">AVERAGE(F87:O87)</f>
        <v>0.0115978</v>
      </c>
      <c r="D87" s="2" t="n">
        <f aca="false">STDEV(F87:O87)</f>
        <v>0.00320564802947686</v>
      </c>
      <c r="E87" s="2" t="s">
        <v>17</v>
      </c>
      <c r="F87" s="2" t="n">
        <v>0.015226</v>
      </c>
      <c r="G87" s="2" t="n">
        <v>0.017672</v>
      </c>
      <c r="H87" s="2" t="n">
        <v>0.011296</v>
      </c>
      <c r="I87" s="2" t="n">
        <v>0.009142</v>
      </c>
      <c r="J87" s="2" t="n">
        <v>0.00977</v>
      </c>
      <c r="K87" s="2" t="n">
        <v>0.015155</v>
      </c>
      <c r="L87" s="2" t="n">
        <v>0.010098</v>
      </c>
      <c r="M87" s="2" t="n">
        <v>0.009169</v>
      </c>
      <c r="N87" s="2" t="n">
        <v>0.009896</v>
      </c>
      <c r="O87" s="2" t="n">
        <v>0.008554</v>
      </c>
    </row>
    <row r="88" customFormat="false" ht="12.8" hidden="false" customHeight="false" outlineLevel="0" collapsed="false">
      <c r="B88" s="2" t="s">
        <v>18</v>
      </c>
      <c r="C88" s="2" t="n">
        <f aca="false">AVERAGE(F88:O88)</f>
        <v>0.1026452</v>
      </c>
      <c r="D88" s="2" t="n">
        <f aca="false">STDEV(F88:O88)</f>
        <v>0.0593373278913779</v>
      </c>
      <c r="E88" s="2" t="s">
        <v>18</v>
      </c>
      <c r="F88" s="2" t="n">
        <v>0.16553</v>
      </c>
      <c r="G88" s="2" t="n">
        <v>0.222988</v>
      </c>
      <c r="H88" s="2" t="n">
        <v>0.091109</v>
      </c>
      <c r="I88" s="2" t="n">
        <v>0.059675</v>
      </c>
      <c r="J88" s="2" t="n">
        <v>0.068151</v>
      </c>
      <c r="K88" s="2" t="n">
        <v>0.163998</v>
      </c>
      <c r="L88" s="2" t="n">
        <v>0.072809</v>
      </c>
      <c r="M88" s="2" t="n">
        <v>0.060027</v>
      </c>
      <c r="N88" s="2" t="n">
        <v>0.069926</v>
      </c>
      <c r="O88" s="2" t="n">
        <v>0.052239</v>
      </c>
    </row>
    <row r="89" customFormat="false" ht="18.55" hidden="false" customHeight="false" outlineLevel="0" collapsed="false">
      <c r="B89" s="1" t="s">
        <v>3</v>
      </c>
      <c r="C89" s="1" t="n">
        <f aca="false">AVERAGE(F89:O89)</f>
        <v>0.0057832</v>
      </c>
      <c r="D89" s="2" t="n">
        <f aca="false">STDEV(F89:O89)</f>
        <v>0.00258281107839243</v>
      </c>
      <c r="E89" s="2" t="s">
        <v>3</v>
      </c>
      <c r="F89" s="2" t="n">
        <v>0.009778</v>
      </c>
      <c r="G89" s="2" t="n">
        <v>0.009189</v>
      </c>
      <c r="H89" s="2" t="n">
        <v>0.005053</v>
      </c>
      <c r="I89" s="2" t="n">
        <v>0.003689</v>
      </c>
      <c r="J89" s="2" t="n">
        <v>0.004139</v>
      </c>
      <c r="K89" s="2" t="n">
        <v>0.009471</v>
      </c>
      <c r="L89" s="2" t="n">
        <v>0.004451</v>
      </c>
      <c r="M89" s="2" t="n">
        <v>0.00399</v>
      </c>
      <c r="N89" s="2" t="n">
        <v>0.004321</v>
      </c>
      <c r="O89" s="2" t="n">
        <v>0.003751</v>
      </c>
    </row>
    <row r="91" customFormat="false" ht="18.55" hidden="false" customHeight="false" outlineLevel="0" collapsed="false">
      <c r="B91" s="1" t="s">
        <v>29</v>
      </c>
    </row>
    <row r="92" customFormat="false" ht="12.8" hidden="false" customHeight="false" outlineLevel="0" collapsed="false">
      <c r="B92" s="2" t="s">
        <v>1</v>
      </c>
      <c r="C92" s="2" t="s">
        <v>2</v>
      </c>
      <c r="D92" s="2" t="s">
        <v>3</v>
      </c>
      <c r="E92" s="2" t="s">
        <v>1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8</v>
      </c>
      <c r="K92" s="2" t="s">
        <v>9</v>
      </c>
      <c r="L92" s="2" t="s">
        <v>10</v>
      </c>
      <c r="M92" s="2" t="s">
        <v>11</v>
      </c>
      <c r="N92" s="2" t="s">
        <v>12</v>
      </c>
      <c r="O92" s="2" t="s">
        <v>13</v>
      </c>
    </row>
    <row r="93" customFormat="false" ht="12.8" hidden="false" customHeight="false" outlineLevel="0" collapsed="false">
      <c r="B93" s="2" t="s">
        <v>14</v>
      </c>
      <c r="C93" s="2" t="n">
        <f aca="false">AVERAGE(F93:O93)</f>
        <v>0.0607802</v>
      </c>
      <c r="D93" s="2" t="n">
        <f aca="false">STDEV(F93:O93)</f>
        <v>0.00516999990973566</v>
      </c>
      <c r="E93" s="2" t="s">
        <v>14</v>
      </c>
      <c r="F93" s="2" t="n">
        <v>0.053277</v>
      </c>
      <c r="G93" s="2" t="n">
        <v>0.06986</v>
      </c>
      <c r="H93" s="2" t="n">
        <v>0.05713</v>
      </c>
      <c r="I93" s="2" t="n">
        <v>0.05749</v>
      </c>
      <c r="J93" s="2" t="n">
        <v>0.067419</v>
      </c>
      <c r="K93" s="2" t="n">
        <v>0.058111</v>
      </c>
      <c r="L93" s="2" t="n">
        <v>0.062264</v>
      </c>
      <c r="M93" s="2" t="n">
        <v>0.062654</v>
      </c>
      <c r="N93" s="2" t="n">
        <v>0.05673</v>
      </c>
      <c r="O93" s="2" t="n">
        <v>0.062867</v>
      </c>
    </row>
    <row r="94" customFormat="false" ht="18.55" hidden="false" customHeight="false" outlineLevel="0" collapsed="false">
      <c r="B94" s="1" t="s">
        <v>2</v>
      </c>
      <c r="C94" s="1" t="n">
        <f aca="false">AVERAGE(F94:O94)</f>
        <v>0.012691</v>
      </c>
      <c r="D94" s="2" t="n">
        <f aca="false">STDEV(F94:O94)</f>
        <v>0.000349001751030309</v>
      </c>
      <c r="E94" s="2" t="s">
        <v>2</v>
      </c>
      <c r="F94" s="2" t="n">
        <v>0.012879</v>
      </c>
      <c r="G94" s="2" t="n">
        <v>0.012959</v>
      </c>
      <c r="H94" s="2" t="n">
        <v>0.012605</v>
      </c>
      <c r="I94" s="2" t="n">
        <v>0.013032</v>
      </c>
      <c r="J94" s="2" t="n">
        <v>0.012641</v>
      </c>
      <c r="K94" s="2" t="n">
        <v>0.013005</v>
      </c>
      <c r="L94" s="2" t="n">
        <v>0.012565</v>
      </c>
      <c r="M94" s="2" t="n">
        <v>0.012122</v>
      </c>
      <c r="N94" s="2" t="n">
        <v>0.01299</v>
      </c>
      <c r="O94" s="2" t="n">
        <v>0.012112</v>
      </c>
    </row>
    <row r="95" customFormat="false" ht="12.8" hidden="false" customHeight="false" outlineLevel="0" collapsed="false">
      <c r="B95" s="2" t="s">
        <v>15</v>
      </c>
      <c r="C95" s="2" t="n">
        <f aca="false">AVERAGE(F95:O95)</f>
        <v>0.011394</v>
      </c>
      <c r="D95" s="2" t="n">
        <f aca="false">STDEV(F95:O95)</f>
        <v>0.000342545698492267</v>
      </c>
      <c r="E95" s="2" t="s">
        <v>15</v>
      </c>
      <c r="F95" s="2" t="n">
        <v>0.011326</v>
      </c>
      <c r="G95" s="2" t="n">
        <v>0.011651</v>
      </c>
      <c r="H95" s="2" t="n">
        <v>0.010991</v>
      </c>
      <c r="I95" s="2" t="n">
        <v>0.011753</v>
      </c>
      <c r="J95" s="2" t="n">
        <v>0.011446</v>
      </c>
      <c r="K95" s="2" t="n">
        <v>0.011675</v>
      </c>
      <c r="L95" s="2" t="n">
        <v>0.011352</v>
      </c>
      <c r="M95" s="2" t="n">
        <v>0.010824</v>
      </c>
      <c r="N95" s="2" t="n">
        <v>0.011833</v>
      </c>
      <c r="O95" s="2" t="n">
        <v>0.011089</v>
      </c>
    </row>
    <row r="96" customFormat="false" ht="12.8" hidden="false" customHeight="false" outlineLevel="0" collapsed="false">
      <c r="B96" s="2" t="s">
        <v>16</v>
      </c>
      <c r="C96" s="2" t="n">
        <f aca="false">AVERAGE(F96:O96)</f>
        <v>0.0010908</v>
      </c>
      <c r="D96" s="2" t="n">
        <f aca="false">STDEV(F96:O96)</f>
        <v>0.000275841258697824</v>
      </c>
      <c r="E96" s="2" t="s">
        <v>16</v>
      </c>
      <c r="F96" s="2" t="n">
        <v>0.001282</v>
      </c>
      <c r="G96" s="2" t="n">
        <v>0.001109</v>
      </c>
      <c r="H96" s="2" t="n">
        <v>0.001055</v>
      </c>
      <c r="I96" s="2" t="n">
        <v>0.001454</v>
      </c>
      <c r="J96" s="2" t="n">
        <v>0.000538</v>
      </c>
      <c r="K96" s="2" t="n">
        <v>0.000704</v>
      </c>
      <c r="L96" s="2" t="n">
        <v>0.0011</v>
      </c>
      <c r="M96" s="2" t="n">
        <v>0.001256</v>
      </c>
      <c r="N96" s="2" t="n">
        <v>0.00115</v>
      </c>
      <c r="O96" s="2" t="n">
        <v>0.00126</v>
      </c>
    </row>
    <row r="97" customFormat="false" ht="18.55" hidden="false" customHeight="false" outlineLevel="0" collapsed="false">
      <c r="A97" s="0" t="n">
        <v>0.014</v>
      </c>
      <c r="B97" s="1" t="s">
        <v>17</v>
      </c>
      <c r="C97" s="1" t="n">
        <f aca="false">AVERAGE(F97:O97)</f>
        <v>0.0146315</v>
      </c>
      <c r="D97" s="2" t="n">
        <f aca="false">STDEV(F97:O97)</f>
        <v>0.000369055626641236</v>
      </c>
      <c r="E97" s="2" t="s">
        <v>17</v>
      </c>
      <c r="F97" s="2" t="n">
        <v>0.014981</v>
      </c>
      <c r="G97" s="2" t="n">
        <v>0.014841</v>
      </c>
      <c r="H97" s="2" t="n">
        <v>0.014575</v>
      </c>
      <c r="I97" s="2" t="n">
        <v>0.01483</v>
      </c>
      <c r="J97" s="2" t="n">
        <v>0.014676</v>
      </c>
      <c r="K97" s="2" t="n">
        <v>0.014961</v>
      </c>
      <c r="L97" s="2" t="n">
        <v>0.014502</v>
      </c>
      <c r="M97" s="2" t="n">
        <v>0.013981</v>
      </c>
      <c r="N97" s="2" t="n">
        <v>0.014944</v>
      </c>
      <c r="O97" s="2" t="n">
        <v>0.014024</v>
      </c>
    </row>
    <row r="98" customFormat="false" ht="12.8" hidden="false" customHeight="false" outlineLevel="0" collapsed="false">
      <c r="B98" s="2" t="s">
        <v>18</v>
      </c>
      <c r="C98" s="2" t="n">
        <f aca="false">AVERAGE(F98:O98)</f>
        <v>0.1769362</v>
      </c>
      <c r="D98" s="2" t="n">
        <f aca="false">STDEV(F98:O98)</f>
        <v>0.00883118540929435</v>
      </c>
      <c r="E98" s="2" t="s">
        <v>18</v>
      </c>
      <c r="F98" s="2" t="n">
        <v>0.185392</v>
      </c>
      <c r="G98" s="2" t="n">
        <v>0.181941</v>
      </c>
      <c r="H98" s="2" t="n">
        <v>0.175479</v>
      </c>
      <c r="I98" s="2" t="n">
        <v>0.18167</v>
      </c>
      <c r="J98" s="2" t="n">
        <v>0.177904</v>
      </c>
      <c r="K98" s="2" t="n">
        <v>0.184897</v>
      </c>
      <c r="L98" s="2" t="n">
        <v>0.173708</v>
      </c>
      <c r="M98" s="2" t="n">
        <v>0.161449</v>
      </c>
      <c r="N98" s="2" t="n">
        <v>0.184463</v>
      </c>
      <c r="O98" s="2" t="n">
        <v>0.162459</v>
      </c>
    </row>
    <row r="99" customFormat="false" ht="18.55" hidden="false" customHeight="false" outlineLevel="0" collapsed="false">
      <c r="B99" s="1" t="s">
        <v>3</v>
      </c>
      <c r="C99" s="1" t="n">
        <f aca="false">AVERAGE(F99:O99)</f>
        <v>0.0072801</v>
      </c>
      <c r="D99" s="2" t="n">
        <f aca="false">STDEV(F99:O99)</f>
        <v>0.000206538374158412</v>
      </c>
      <c r="E99" s="2" t="s">
        <v>3</v>
      </c>
      <c r="F99" s="2" t="n">
        <v>0.007653</v>
      </c>
      <c r="G99" s="2" t="n">
        <v>0.007234</v>
      </c>
      <c r="H99" s="2" t="n">
        <v>0.007318</v>
      </c>
      <c r="I99" s="2" t="n">
        <v>0.007079</v>
      </c>
      <c r="J99" s="2" t="n">
        <v>0.007455</v>
      </c>
      <c r="K99" s="2" t="n">
        <v>0.007397</v>
      </c>
      <c r="L99" s="2" t="n">
        <v>0.007241</v>
      </c>
      <c r="M99" s="2" t="n">
        <v>0.006966</v>
      </c>
      <c r="N99" s="2" t="n">
        <v>0.007389</v>
      </c>
      <c r="O99" s="2" t="n">
        <v>0.007069</v>
      </c>
    </row>
    <row r="102" customFormat="false" ht="18.55" hidden="false" customHeight="false" outlineLevel="0" collapsed="false">
      <c r="B102" s="1"/>
    </row>
    <row r="103" customFormat="false" ht="12.8" hidden="false" customHeight="false" outlineLevel="0" collapsed="false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customFormat="false" ht="12.8" hidden="false" customHeight="false" outlineLevel="0" collapsed="false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customFormat="false" ht="18.55" hidden="false" customHeight="false" outlineLevel="0" collapsed="false"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customFormat="false" ht="12.8" hidden="false" customHeight="false" outlineLevel="0" collapsed="false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customFormat="false" ht="12.8" hidden="false" customHeight="false" outlineLevel="0" collapsed="false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customFormat="false" ht="18.55" hidden="false" customHeight="false" outlineLevel="0" collapsed="false">
      <c r="A108" s="0" t="n">
        <v>0.0192</v>
      </c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customFormat="false" ht="12.8" hidden="false" customHeight="false" outlineLevel="0" collapsed="false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customFormat="false" ht="18.55" hidden="false" customHeight="false" outlineLevel="0" collapsed="false"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3" customFormat="false" ht="18.55" hidden="false" customHeight="false" outlineLevel="0" collapsed="false">
      <c r="B113" s="1"/>
    </row>
    <row r="114" customFormat="false" ht="12.8" hidden="false" customHeight="false" outlineLevel="0" collapsed="false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customFormat="false" ht="12.8" hidden="false" customHeight="false" outlineLevel="0" collapsed="false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customFormat="false" ht="18.55" hidden="false" customHeight="false" outlineLevel="0" collapsed="false"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customFormat="false" ht="12.8" hidden="false" customHeight="false" outlineLevel="0" collapsed="false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customFormat="false" ht="12.8" hidden="false" customHeight="false" outlineLevel="0" collapsed="false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customFormat="false" ht="18.55" hidden="false" customHeight="false" outlineLevel="0" collapsed="false">
      <c r="A119" s="0" t="n">
        <v>0.0299</v>
      </c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customFormat="false" ht="12.8" hidden="false" customHeight="false" outlineLevel="0" collapsed="false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customFormat="false" ht="18.55" hidden="false" customHeight="false" outlineLevel="0" collapsed="false"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4" customFormat="false" ht="18.55" hidden="false" customHeight="false" outlineLevel="0" collapsed="false">
      <c r="B124" s="1"/>
    </row>
    <row r="125" customFormat="false" ht="12.8" hidden="false" customHeight="false" outlineLevel="0" collapsed="false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customFormat="false" ht="12.8" hidden="false" customHeight="false" outlineLevel="0" collapsed="false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customFormat="false" ht="18.55" hidden="false" customHeight="false" outlineLevel="0" collapsed="false"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customFormat="false" ht="12.8" hidden="false" customHeight="false" outlineLevel="0" collapsed="false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customFormat="false" ht="12.8" hidden="false" customHeight="false" outlineLevel="0" collapsed="false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customFormat="false" ht="18.55" hidden="false" customHeight="false" outlineLevel="0" collapsed="false"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customFormat="false" ht="12.8" hidden="false" customHeight="false" outlineLevel="0" collapsed="false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customFormat="false" ht="18.55" hidden="false" customHeight="false" outlineLevel="0" collapsed="false"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5" customFormat="false" ht="18.55" hidden="false" customHeight="false" outlineLevel="0" collapsed="false">
      <c r="B135" s="1"/>
    </row>
    <row r="136" customFormat="false" ht="12.8" hidden="false" customHeight="false" outlineLevel="0" collapsed="false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customFormat="false" ht="12.8" hidden="false" customHeight="false" outlineLevel="0" collapsed="false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customFormat="false" ht="18.55" hidden="false" customHeight="false" outlineLevel="0" collapsed="false"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customFormat="false" ht="12.8" hidden="false" customHeight="false" outlineLevel="0" collapsed="false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customFormat="false" ht="12.8" hidden="false" customHeight="false" outlineLevel="0" collapsed="false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customFormat="false" ht="18.55" hidden="false" customHeight="false" outlineLevel="0" collapsed="false"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customFormat="false" ht="12.8" hidden="false" customHeight="false" outlineLevel="0" collapsed="false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customFormat="false" ht="18.55" hidden="false" customHeight="false" outlineLevel="0" collapsed="false"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6" customFormat="false" ht="18.55" hidden="false" customHeight="false" outlineLevel="0" collapsed="false">
      <c r="B146" s="1"/>
    </row>
    <row r="147" customFormat="false" ht="12.8" hidden="false" customHeight="false" outlineLevel="0" collapsed="false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customFormat="false" ht="12.8" hidden="false" customHeight="false" outlineLevel="0" collapsed="false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customFormat="false" ht="18.55" hidden="false" customHeight="false" outlineLevel="0" collapsed="false"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customFormat="false" ht="12.8" hidden="false" customHeight="false" outlineLevel="0" collapsed="false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customFormat="false" ht="12.8" hidden="false" customHeight="false" outlineLevel="0" collapsed="false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customFormat="false" ht="18.55" hidden="false" customHeight="false" outlineLevel="0" collapsed="false">
      <c r="A152" s="0" t="n">
        <v>0.04</v>
      </c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customFormat="false" ht="12.8" hidden="false" customHeight="false" outlineLevel="0" collapsed="false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customFormat="false" ht="18.55" hidden="false" customHeight="false" outlineLevel="0" collapsed="false"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7" customFormat="false" ht="23.1" hidden="false" customHeight="false" outlineLevel="0" collapsed="false">
      <c r="B157" s="1"/>
    </row>
    <row r="158" customFormat="false" ht="12.8" hidden="false" customHeight="false" outlineLevel="0" collapsed="false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customFormat="false" ht="12.8" hidden="false" customHeight="false" outlineLevel="0" collapsed="false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customFormat="false" ht="18.55" hidden="false" customHeight="false" outlineLevel="0" collapsed="false"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customFormat="false" ht="12.8" hidden="false" customHeight="false" outlineLevel="0" collapsed="false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customFormat="false" ht="12.8" hidden="false" customHeight="false" outlineLevel="0" collapsed="false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customFormat="false" ht="18.55" hidden="false" customHeight="false" outlineLevel="0" collapsed="false">
      <c r="A163" s="0" t="n">
        <v>0.0376</v>
      </c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customFormat="false" ht="12.8" hidden="false" customHeight="false" outlineLevel="0" collapsed="false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customFormat="false" ht="18.55" hidden="false" customHeight="false" outlineLevel="0" collapsed="false"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customFormat="false" ht="18.55" hidden="false" customHeight="false" outlineLevel="0" collapsed="false"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customFormat="false" ht="18.55" hidden="false" customHeight="false" outlineLevel="0" collapsed="false"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70" customFormat="false" ht="12.8" hidden="false" customHeight="false" outlineLevel="0" collapsed="false">
      <c r="B170" s="2"/>
    </row>
    <row r="171" customFormat="false" ht="18.55" hidden="false" customHeight="false" outlineLevel="0" collapsed="false">
      <c r="B171" s="1"/>
    </row>
    <row r="172" customFormat="false" ht="12.8" hidden="false" customHeight="false" outlineLevel="0" collapsed="false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customFormat="false" ht="12.8" hidden="false" customHeight="false" outlineLevel="0" collapsed="false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customFormat="false" ht="18.55" hidden="false" customHeight="false" outlineLevel="0" collapsed="false"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customFormat="false" ht="12.8" hidden="false" customHeight="false" outlineLevel="0" collapsed="false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customFormat="false" ht="12.8" hidden="false" customHeight="false" outlineLevel="0" collapsed="false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customFormat="false" ht="18.55" hidden="false" customHeight="false" outlineLevel="0" collapsed="false"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false" ht="12.8" hidden="false" customHeight="false" outlineLevel="0" collapsed="false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false" ht="18.55" hidden="false" customHeight="false" outlineLevel="0" collapsed="false"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2" customFormat="false" ht="18.55" hidden="false" customHeight="false" outlineLevel="0" collapsed="false">
      <c r="B182" s="1"/>
    </row>
    <row r="183" customFormat="false" ht="12.8" hidden="false" customHeight="false" outlineLevel="0" collapsed="false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customFormat="false" ht="12.8" hidden="false" customHeight="false" outlineLevel="0" collapsed="false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customFormat="false" ht="18.55" hidden="false" customHeight="false" outlineLevel="0" collapsed="false"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customFormat="false" ht="12.8" hidden="false" customHeight="false" outlineLevel="0" collapsed="false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customFormat="false" ht="12.8" hidden="false" customHeight="false" outlineLevel="0" collapsed="false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customFormat="false" ht="18.55" hidden="false" customHeight="false" outlineLevel="0" collapsed="false"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false" ht="12.8" hidden="false" customHeight="false" outlineLevel="0" collapsed="false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false" ht="18.55" hidden="false" customHeight="false" outlineLevel="0" collapsed="false"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3" customFormat="false" ht="18.55" hidden="false" customHeight="false" outlineLevel="0" collapsed="false">
      <c r="B193" s="1"/>
    </row>
    <row r="194" customFormat="false" ht="12.8" hidden="false" customHeight="false" outlineLevel="0" collapsed="false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customFormat="false" ht="12.8" hidden="false" customHeight="false" outlineLevel="0" collapsed="false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customFormat="false" ht="18.55" hidden="false" customHeight="false" outlineLevel="0" collapsed="false"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customFormat="false" ht="12.8" hidden="false" customHeight="false" outlineLevel="0" collapsed="false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customFormat="false" ht="12.8" hidden="false" customHeight="false" outlineLevel="0" collapsed="false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customFormat="false" ht="18.55" hidden="false" customHeight="false" outlineLevel="0" collapsed="false"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customFormat="false" ht="12.8" hidden="false" customHeight="false" outlineLevel="0" collapsed="false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customFormat="false" ht="18.55" hidden="false" customHeight="false" outlineLevel="0" collapsed="false"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4" customFormat="false" ht="18.55" hidden="false" customHeight="false" outlineLevel="0" collapsed="false">
      <c r="B204" s="1"/>
    </row>
    <row r="205" customFormat="false" ht="12.8" hidden="false" customHeight="false" outlineLevel="0" collapsed="false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customFormat="false" ht="12.8" hidden="false" customHeight="false" outlineLevel="0" collapsed="false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customFormat="false" ht="18.55" hidden="false" customHeight="false" outlineLevel="0" collapsed="false"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customFormat="false" ht="12.8" hidden="false" customHeight="false" outlineLevel="0" collapsed="false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customFormat="false" ht="12.8" hidden="false" customHeight="false" outlineLevel="0" collapsed="false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customFormat="false" ht="18.55" hidden="false" customHeight="false" outlineLevel="0" collapsed="false"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customFormat="false" ht="12.8" hidden="false" customHeight="false" outlineLevel="0" collapsed="false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customFormat="false" ht="18.55" hidden="false" customHeight="false" outlineLevel="0" collapsed="false"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5" customFormat="false" ht="18.55" hidden="false" customHeight="false" outlineLevel="0" collapsed="false">
      <c r="B215" s="1"/>
    </row>
    <row r="216" customFormat="false" ht="12.8" hidden="false" customHeight="false" outlineLevel="0" collapsed="false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customFormat="false" ht="12.8" hidden="false" customHeight="false" outlineLevel="0" collapsed="false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customFormat="false" ht="18.55" hidden="false" customHeight="false" outlineLevel="0" collapsed="false"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customFormat="false" ht="12.8" hidden="false" customHeight="false" outlineLevel="0" collapsed="false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customFormat="false" ht="12.8" hidden="false" customHeight="false" outlineLevel="0" collapsed="false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customFormat="false" ht="18.55" hidden="false" customHeight="false" outlineLevel="0" collapsed="false"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customFormat="false" ht="12.8" hidden="false" customHeight="false" outlineLevel="0" collapsed="false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customFormat="false" ht="18.55" hidden="false" customHeight="false" outlineLevel="0" collapsed="false"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6" customFormat="false" ht="18.55" hidden="false" customHeight="false" outlineLevel="0" collapsed="false">
      <c r="B226" s="1"/>
    </row>
    <row r="227" customFormat="false" ht="12.8" hidden="false" customHeight="false" outlineLevel="0" collapsed="false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customFormat="false" ht="12.8" hidden="false" customHeight="false" outlineLevel="0" collapsed="false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customFormat="false" ht="18.55" hidden="false" customHeight="false" outlineLevel="0" collapsed="false"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customFormat="false" ht="12.8" hidden="false" customHeight="false" outlineLevel="0" collapsed="false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customFormat="false" ht="12.8" hidden="false" customHeight="false" outlineLevel="0" collapsed="false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customFormat="false" ht="18.55" hidden="false" customHeight="false" outlineLevel="0" collapsed="false"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customFormat="false" ht="12.8" hidden="false" customHeight="false" outlineLevel="0" collapsed="false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customFormat="false" ht="18.55" hidden="false" customHeight="false" outlineLevel="0" collapsed="false"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7" customFormat="false" ht="18.55" hidden="false" customHeight="false" outlineLevel="0" collapsed="false">
      <c r="B237" s="1"/>
    </row>
    <row r="238" customFormat="false" ht="12.8" hidden="false" customHeight="false" outlineLevel="0" collapsed="false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customFormat="false" ht="12.8" hidden="false" customHeight="false" outlineLevel="0" collapsed="false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customFormat="false" ht="18.55" hidden="false" customHeight="false" outlineLevel="0" collapsed="false"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customFormat="false" ht="12.8" hidden="false" customHeight="false" outlineLevel="0" collapsed="false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customFormat="false" ht="12.8" hidden="false" customHeight="false" outlineLevel="0" collapsed="false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customFormat="false" ht="18.55" hidden="false" customHeight="false" outlineLevel="0" collapsed="false"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customFormat="false" ht="12.8" hidden="false" customHeight="false" outlineLevel="0" collapsed="false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customFormat="false" ht="18.55" hidden="false" customHeight="false" outlineLevel="0" collapsed="false"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8" customFormat="false" ht="18.55" hidden="false" customHeight="false" outlineLevel="0" collapsed="false">
      <c r="B248" s="1"/>
    </row>
    <row r="249" customFormat="false" ht="12.8" hidden="false" customHeight="false" outlineLevel="0" collapsed="false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customFormat="false" ht="12.8" hidden="false" customHeight="false" outlineLevel="0" collapsed="false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customFormat="false" ht="18.55" hidden="false" customHeight="false" outlineLevel="0" collapsed="false"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customFormat="false" ht="12.8" hidden="false" customHeight="false" outlineLevel="0" collapsed="false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customFormat="false" ht="12.8" hidden="false" customHeight="false" outlineLevel="0" collapsed="false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customFormat="false" ht="18.55" hidden="false" customHeight="false" outlineLevel="0" collapsed="false"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customFormat="false" ht="12.8" hidden="false" customHeight="false" outlineLevel="0" collapsed="false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customFormat="false" ht="18.55" hidden="false" customHeight="false" outlineLevel="0" collapsed="false"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9" customFormat="false" ht="18.55" hidden="false" customHeight="false" outlineLevel="0" collapsed="false">
      <c r="B259" s="1"/>
    </row>
    <row r="260" customFormat="false" ht="12.8" hidden="false" customHeight="false" outlineLevel="0" collapsed="false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customFormat="false" ht="12.8" hidden="false" customHeight="false" outlineLevel="0" collapsed="false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customFormat="false" ht="18.55" hidden="false" customHeight="false" outlineLevel="0" collapsed="false"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customFormat="false" ht="12.8" hidden="false" customHeight="false" outlineLevel="0" collapsed="false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customFormat="false" ht="12.8" hidden="false" customHeight="false" outlineLevel="0" collapsed="false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customFormat="false" ht="18.55" hidden="false" customHeight="false" outlineLevel="0" collapsed="false"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customFormat="false" ht="12.8" hidden="false" customHeight="false" outlineLevel="0" collapsed="false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customFormat="false" ht="18.55" hidden="false" customHeight="false" outlineLevel="0" collapsed="false"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72" customFormat="false" ht="23.1" hidden="false" customHeight="false" outlineLevel="0" collapsed="false">
      <c r="B272" s="1"/>
    </row>
    <row r="273" customFormat="false" ht="12.8" hidden="false" customHeight="false" outlineLevel="0" collapsed="false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customFormat="false" ht="12.8" hidden="false" customHeight="false" outlineLevel="0" collapsed="false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customFormat="false" ht="18.55" hidden="false" customHeight="false" outlineLevel="0" collapsed="false"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customFormat="false" ht="12.8" hidden="false" customHeight="false" outlineLevel="0" collapsed="false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customFormat="false" ht="12.8" hidden="false" customHeight="false" outlineLevel="0" collapsed="false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customFormat="false" ht="18.55" hidden="false" customHeight="false" outlineLevel="0" collapsed="false">
      <c r="A278" s="0" t="n">
        <v>0.3229</v>
      </c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customFormat="false" ht="12.8" hidden="false" customHeight="false" outlineLevel="0" collapsed="false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customFormat="false" ht="18.55" hidden="false" customHeight="false" outlineLevel="0" collapsed="false"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customFormat="false" ht="18.55" hidden="false" customHeight="false" outlineLevel="0" collapsed="false"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customFormat="false" ht="18.55" hidden="false" customHeight="false" outlineLevel="0" collapsed="false"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5" customFormat="false" ht="23.1" hidden="false" customHeight="false" outlineLevel="0" collapsed="false">
      <c r="B285" s="1"/>
    </row>
    <row r="286" customFormat="false" ht="12.8" hidden="false" customHeight="false" outlineLevel="0" collapsed="false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customFormat="false" ht="12.8" hidden="false" customHeight="false" outlineLevel="0" collapsed="false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customFormat="false" ht="18.55" hidden="false" customHeight="false" outlineLevel="0" collapsed="false">
      <c r="B288" s="1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customFormat="false" ht="12.8" hidden="false" customHeight="false" outlineLevel="0" collapsed="false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customFormat="false" ht="12.8" hidden="false" customHeight="false" outlineLevel="0" collapsed="false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customFormat="false" ht="18.55" hidden="false" customHeight="false" outlineLevel="0" collapsed="false">
      <c r="A291" s="0" t="n">
        <v>0.0164</v>
      </c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customFormat="false" ht="12.8" hidden="false" customHeight="false" outlineLevel="0" collapsed="false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customFormat="false" ht="18.55" hidden="false" customHeight="false" outlineLevel="0" collapsed="false"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6" customFormat="false" ht="23.1" hidden="false" customHeight="false" outlineLevel="0" collapsed="false">
      <c r="B296" s="1"/>
    </row>
    <row r="297" customFormat="false" ht="12.8" hidden="false" customHeight="false" outlineLevel="0" collapsed="false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customFormat="false" ht="12.8" hidden="false" customHeight="false" outlineLevel="0" collapsed="false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customFormat="false" ht="18.55" hidden="false" customHeight="false" outlineLevel="0" collapsed="false"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customFormat="false" ht="12.8" hidden="false" customHeight="false" outlineLevel="0" collapsed="false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customFormat="false" ht="12.8" hidden="false" customHeight="false" outlineLevel="0" collapsed="false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customFormat="false" ht="18.55" hidden="false" customHeight="false" outlineLevel="0" collapsed="false"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customFormat="false" ht="12.8" hidden="false" customHeight="false" outlineLevel="0" collapsed="false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customFormat="false" ht="18.55" hidden="false" customHeight="false" outlineLevel="0" collapsed="false"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2026-03-24T23:54:22Z</dcterms:created>
  <dc:creator/>
  <dc:description/>
  <dc:language>en-US</dc:language>
  <cp:lastModifiedBy/>
  <dcterms:modified xsi:type="dcterms:W3CDTF">2026-05-06T09:13:36Z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