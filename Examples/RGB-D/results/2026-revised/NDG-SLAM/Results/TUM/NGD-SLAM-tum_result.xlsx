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otpic-SLAM-Bon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<sst xmlns="http://schemas.openxmlformats.org/spreadsheetml/2006/main" count="269" uniqueCount="39">
  <si>
    <t xml:space="preserve">rgbd_dataset_freiburg2_desk_with_person</t>
  </si>
  <si>
    <t xml:space="preserve">metric</t>
  </si>
  <si>
    <t xml:space="preserve">mean</t>
  </si>
  <si>
    <t xml:space="preserve">std</t>
  </si>
  <si>
    <t xml:space="preserve">CameraTrajectory_01.txt</t>
  </si>
  <si>
    <t xml:space="preserve">CameraTrajectory_02.txt</t>
  </si>
  <si>
    <t xml:space="preserve">CameraTrajectory_03.txt</t>
  </si>
  <si>
    <t xml:space="preserve">CameraTrajectory_04.txt</t>
  </si>
  <si>
    <t xml:space="preserve">CameraTrajectory_05.txt</t>
  </si>
  <si>
    <t xml:space="preserve">CameraTrajectory_06.txt</t>
  </si>
  <si>
    <t xml:space="preserve">CameraTrajectory_07.txt</t>
  </si>
  <si>
    <t xml:space="preserve">CameraTrajectory_09.txt</t>
  </si>
  <si>
    <t xml:space="preserve">CameraTrajectory_10.txt</t>
  </si>
  <si>
    <t xml:space="preserve">max</t>
  </si>
  <si>
    <t xml:space="preserve">median</t>
  </si>
  <si>
    <t xml:space="preserve">min</t>
  </si>
  <si>
    <t xml:space="preserve">Rovk-0.0067041</t>
  </si>
  <si>
    <t xml:space="preserve">rmse</t>
  </si>
  <si>
    <t xml:space="preserve">sse</t>
  </si>
  <si>
    <t xml:space="preserve">rgbd_dataset_freiburg3_sitting_halfsphere</t>
  </si>
  <si>
    <t xml:space="preserve">CameraTrajectory_08.txt</t>
  </si>
  <si>
    <t xml:space="preserve">Rovk-0.0156642</t>
  </si>
  <si>
    <t xml:space="preserve">rgbd_dataset_freiburg3_sitting_rpy</t>
  </si>
  <si>
    <t xml:space="preserve">Rovk-0.0205067</t>
  </si>
  <si>
    <t xml:space="preserve">rgbd_dataset_freiburg3_sitting_static</t>
  </si>
  <si>
    <t xml:space="preserve">Rovk-0.0073413</t>
  </si>
  <si>
    <t xml:space="preserve">rgbd_dataset_freiburg3_sitting_xyz</t>
  </si>
  <si>
    <t xml:space="preserve">Rovk-0.0097365</t>
  </si>
  <si>
    <r>
      <rPr>
        <sz val="10"/>
        <rFont val="Noto Sans CJK SC"/>
        <family val="2"/>
        <charset val="1"/>
      </rPr>
      <t xml:space="preserve">论文结果</t>
    </r>
    <r>
      <rPr>
        <sz val="10"/>
        <rFont val="Arial"/>
        <family val="2"/>
        <charset val="1"/>
      </rPr>
      <t xml:space="preserve">0.024</t>
    </r>
  </si>
  <si>
    <t xml:space="preserve">rgbd_dataset_freiburg3_walking_halfsphere</t>
  </si>
  <si>
    <t xml:space="preserve">Rovk-0.0251061</t>
  </si>
  <si>
    <r>
      <rPr>
        <sz val="10"/>
        <rFont val="Noto Sans CJK SC"/>
        <family val="2"/>
        <charset val="1"/>
      </rPr>
      <t xml:space="preserve">论文结果</t>
    </r>
    <r>
      <rPr>
        <sz val="10"/>
        <rFont val="Arial"/>
        <family val="2"/>
        <charset val="1"/>
      </rPr>
      <t xml:space="preserve">0.025</t>
    </r>
  </si>
  <si>
    <t xml:space="preserve">rgbd_dataset_freiburg3_walking_rpy</t>
  </si>
  <si>
    <t xml:space="preserve">Rovk-0.0324406</t>
  </si>
  <si>
    <r>
      <rPr>
        <sz val="10"/>
        <rFont val="Noto Sans CJK SC"/>
        <family val="2"/>
        <charset val="1"/>
      </rPr>
      <t xml:space="preserve">论文结果</t>
    </r>
    <r>
      <rPr>
        <sz val="10"/>
        <rFont val="Arial"/>
        <family val="2"/>
        <charset val="1"/>
      </rPr>
      <t xml:space="preserve">0.033</t>
    </r>
  </si>
  <si>
    <t xml:space="preserve">rgbd_dataset_freiburg3_walking_static</t>
  </si>
  <si>
    <t xml:space="preserve">Rovk-0.0090751</t>
  </si>
  <si>
    <t xml:space="preserve">rgbd_dataset_freiburg3_walking_xyz</t>
  </si>
  <si>
    <t xml:space="preserve">Rovk-0.0151955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</si>
</sst>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b val="true"/>
      <sz val="15"/>
      <color rgb="FFFF0000"/>
      <name val="Arial"/>
      <family val="2"/>
      <charset val="1"/>
    </font>
    <font>
      <sz val="15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5"/>
      <color rgb="FF00A933"/>
      <name val="Arial"/>
      <family val="2"/>
      <charset val="1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1.25"/>
    <col collapsed="false" customWidth="true" hidden="false" outlineLevel="0" max="2" min="2" style="0" width="12.22"/>
  </cols>
  <sheetData>
    <row r="1" customFormat="false" ht="18.55" hidden="false" customHeight="false" outlineLevel="0" collapsed="false">
      <c r="C1" s="1" t="s">
        <v>0</v>
      </c>
    </row>
    <row r="2" customFormat="false" ht="12.8" hidden="false" customHeight="false" outlineLevel="0" collapsed="false">
      <c r="C2" s="2" t="s">
        <v>1</v>
      </c>
      <c r="D2" s="2" t="s">
        <v>2</v>
      </c>
      <c r="E2" s="2" t="s">
        <v>3</v>
      </c>
      <c r="F2" s="2" t="s">
        <v>1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0" t="s">
        <v>12</v>
      </c>
      <c r="P2" s="2"/>
    </row>
    <row r="3" customFormat="false" ht="12.8" hidden="false" customHeight="false" outlineLevel="0" collapsed="false">
      <c r="C3" s="2" t="s">
        <v>13</v>
      </c>
      <c r="D3" s="2" t="n">
        <f aca="false">AVERAGE(G3:P3)</f>
        <v>0.0714133333333333</v>
      </c>
      <c r="E3" s="2" t="n">
        <f aca="false">STDEV(G3:P3)</f>
        <v>0.00262902567503628</v>
      </c>
      <c r="F3" s="2" t="s">
        <v>13</v>
      </c>
      <c r="G3" s="2" t="n">
        <v>0.066557</v>
      </c>
      <c r="H3" s="2" t="n">
        <v>0.067997</v>
      </c>
      <c r="I3" s="2" t="n">
        <v>0.070486</v>
      </c>
      <c r="J3" s="2" t="n">
        <v>0.073074</v>
      </c>
      <c r="K3" s="2" t="n">
        <v>0.074055</v>
      </c>
      <c r="L3" s="2" t="n">
        <v>0.072605</v>
      </c>
      <c r="M3" s="2" t="n">
        <v>0.071158</v>
      </c>
      <c r="N3" s="2" t="n">
        <v>0.073158</v>
      </c>
      <c r="O3" s="0" t="n">
        <v>0.07363</v>
      </c>
      <c r="P3" s="2"/>
    </row>
    <row r="4" customFormat="false" ht="18.55" hidden="false" customHeight="false" outlineLevel="0" collapsed="false">
      <c r="C4" s="1" t="s">
        <v>2</v>
      </c>
      <c r="D4" s="1" t="n">
        <f aca="false">AVERAGE(G4:P4)</f>
        <v>0.0158281111111111</v>
      </c>
      <c r="E4" s="2" t="n">
        <f aca="false">STDEV(G4:P4)</f>
        <v>0.000523878431614732</v>
      </c>
      <c r="F4" s="2" t="s">
        <v>2</v>
      </c>
      <c r="G4" s="2" t="n">
        <v>0.01671</v>
      </c>
      <c r="H4" s="2" t="n">
        <v>0.016081</v>
      </c>
      <c r="I4" s="2" t="n">
        <v>0.015739</v>
      </c>
      <c r="J4" s="2" t="n">
        <v>0.016131</v>
      </c>
      <c r="K4" s="2" t="n">
        <v>0.015474</v>
      </c>
      <c r="L4" s="2" t="n">
        <v>0.01562</v>
      </c>
      <c r="M4" s="2" t="n">
        <v>0.01524</v>
      </c>
      <c r="N4" s="2" t="n">
        <v>0.016329</v>
      </c>
      <c r="O4" s="0" t="n">
        <v>0.015129</v>
      </c>
      <c r="P4" s="2"/>
    </row>
    <row r="5" customFormat="false" ht="12.8" hidden="false" customHeight="false" outlineLevel="0" collapsed="false">
      <c r="C5" s="2" t="s">
        <v>14</v>
      </c>
      <c r="D5" s="2" t="n">
        <f aca="false">AVERAGE(G5:P5)</f>
        <v>0.0155271111111111</v>
      </c>
      <c r="E5" s="2" t="n">
        <f aca="false">STDEV(G5:P5)</f>
        <v>0.000660679847665351</v>
      </c>
      <c r="F5" s="2" t="s">
        <v>14</v>
      </c>
      <c r="G5" s="2" t="n">
        <v>0.016654</v>
      </c>
      <c r="H5" s="2" t="n">
        <v>0.015945</v>
      </c>
      <c r="I5" s="2" t="n">
        <v>0.015238</v>
      </c>
      <c r="J5" s="2" t="n">
        <v>0.015975</v>
      </c>
      <c r="K5" s="2" t="n">
        <v>0.015253</v>
      </c>
      <c r="L5" s="2" t="n">
        <v>0.015219</v>
      </c>
      <c r="M5" s="2" t="n">
        <v>0.014993</v>
      </c>
      <c r="N5" s="2" t="n">
        <v>0.015987</v>
      </c>
      <c r="O5" s="0" t="n">
        <v>0.01448</v>
      </c>
      <c r="P5" s="2"/>
    </row>
    <row r="6" customFormat="false" ht="12.8" hidden="false" customHeight="false" outlineLevel="0" collapsed="false">
      <c r="C6" s="2" t="s">
        <v>15</v>
      </c>
      <c r="D6" s="2" t="n">
        <f aca="false">AVERAGE(G6:P6)</f>
        <v>0.00244733333333333</v>
      </c>
      <c r="E6" s="2" t="n">
        <f aca="false">STDEV(G6:P6)</f>
        <v>0.000728664188772853</v>
      </c>
      <c r="F6" s="2" t="s">
        <v>15</v>
      </c>
      <c r="G6" s="2" t="n">
        <v>0.001719</v>
      </c>
      <c r="H6" s="2" t="n">
        <v>0.001311</v>
      </c>
      <c r="I6" s="2" t="n">
        <v>0.001963</v>
      </c>
      <c r="J6" s="2" t="n">
        <v>0.003326</v>
      </c>
      <c r="K6" s="2" t="n">
        <v>0.001936</v>
      </c>
      <c r="L6" s="2" t="n">
        <v>0.00328</v>
      </c>
      <c r="M6" s="2" t="n">
        <v>0.002703</v>
      </c>
      <c r="N6" s="2" t="n">
        <v>0.0029</v>
      </c>
      <c r="O6" s="0" t="n">
        <v>0.002888</v>
      </c>
      <c r="P6" s="2"/>
    </row>
    <row r="7" customFormat="false" ht="18.55" hidden="false" customHeight="false" outlineLevel="0" collapsed="false">
      <c r="A7" s="0" t="s">
        <v>16</v>
      </c>
      <c r="C7" s="1" t="s">
        <v>17</v>
      </c>
      <c r="D7" s="3" t="n">
        <f aca="false">AVERAGE(G7:P7)</f>
        <v>0.016555</v>
      </c>
      <c r="E7" s="2" t="n">
        <f aca="false">STDEV(G7:P7)</f>
        <v>0.000522820714968334</v>
      </c>
      <c r="F7" s="2" t="s">
        <v>17</v>
      </c>
      <c r="G7" s="2" t="n">
        <v>0.017523</v>
      </c>
      <c r="H7" s="2" t="n">
        <v>0.016738</v>
      </c>
      <c r="I7" s="2" t="n">
        <v>0.01656</v>
      </c>
      <c r="J7" s="2" t="n">
        <v>0.016787</v>
      </c>
      <c r="K7" s="2" t="n">
        <v>0.016184</v>
      </c>
      <c r="L7" s="2" t="n">
        <v>0.016377</v>
      </c>
      <c r="M7" s="2" t="n">
        <v>0.015959</v>
      </c>
      <c r="N7" s="2" t="n">
        <v>0.016985</v>
      </c>
      <c r="O7" s="0" t="n">
        <v>0.015882</v>
      </c>
      <c r="P7" s="2"/>
    </row>
    <row r="8" customFormat="false" ht="12.8" hidden="false" customHeight="false" outlineLevel="0" collapsed="false">
      <c r="C8" s="2" t="s">
        <v>18</v>
      </c>
      <c r="D8" s="2" t="n">
        <f aca="false">AVERAGE(G8:P8)</f>
        <v>0.969674333333333</v>
      </c>
      <c r="E8" s="2" t="n">
        <f aca="false">STDEV(G8:P8)</f>
        <v>0.0615410238641672</v>
      </c>
      <c r="F8" s="2" t="s">
        <v>18</v>
      </c>
      <c r="G8" s="2" t="n">
        <v>1.085391</v>
      </c>
      <c r="H8" s="2" t="n">
        <v>0.990345</v>
      </c>
      <c r="I8" s="2" t="n">
        <v>0.969463</v>
      </c>
      <c r="J8" s="2" t="n">
        <v>0.996117</v>
      </c>
      <c r="K8" s="2" t="n">
        <v>0.925901</v>
      </c>
      <c r="L8" s="2" t="n">
        <v>0.948054</v>
      </c>
      <c r="M8" s="2" t="n">
        <v>0.900312</v>
      </c>
      <c r="N8" s="2" t="n">
        <v>1.019769</v>
      </c>
      <c r="O8" s="0" t="n">
        <v>0.891717</v>
      </c>
      <c r="P8" s="2"/>
    </row>
    <row r="9" customFormat="false" ht="18.55" hidden="false" customHeight="false" outlineLevel="0" collapsed="false">
      <c r="C9" s="1" t="s">
        <v>3</v>
      </c>
      <c r="D9" s="1" t="n">
        <f aca="false">AVERAGE(G9:P9)</f>
        <v>0.00484588888888889</v>
      </c>
      <c r="E9" s="2" t="n">
        <f aca="false">STDEV(G9:P9)</f>
        <v>0.000228045195325644</v>
      </c>
      <c r="F9" s="2" t="s">
        <v>3</v>
      </c>
      <c r="G9" s="2" t="n">
        <v>0.005273</v>
      </c>
      <c r="H9" s="2" t="n">
        <v>0.004642</v>
      </c>
      <c r="I9" s="2" t="n">
        <v>0.00515</v>
      </c>
      <c r="J9" s="2" t="n">
        <v>0.004644</v>
      </c>
      <c r="K9" s="2" t="n">
        <v>0.004741</v>
      </c>
      <c r="L9" s="2" t="n">
        <v>0.00492</v>
      </c>
      <c r="M9" s="2" t="n">
        <v>0.004735</v>
      </c>
      <c r="N9" s="2" t="n">
        <v>0.004673</v>
      </c>
      <c r="O9" s="0" t="n">
        <v>0.004835</v>
      </c>
      <c r="P9" s="2"/>
    </row>
    <row r="12" customFormat="false" ht="18.55" hidden="false" customHeight="false" outlineLevel="0" collapsed="false">
      <c r="C12" s="4" t="s">
        <v>19</v>
      </c>
    </row>
    <row r="13" customFormat="false" ht="12.8" hidden="false" customHeight="false" outlineLevel="0" collapsed="false">
      <c r="C13" s="2" t="s">
        <v>1</v>
      </c>
      <c r="D13" s="2" t="s">
        <v>2</v>
      </c>
      <c r="E13" s="2" t="s">
        <v>3</v>
      </c>
      <c r="F13" s="2" t="s">
        <v>1</v>
      </c>
      <c r="G13" s="2" t="s">
        <v>4</v>
      </c>
      <c r="H13" s="2" t="s">
        <v>5</v>
      </c>
      <c r="I13" s="0" t="s">
        <v>6</v>
      </c>
      <c r="J13" s="2" t="s">
        <v>7</v>
      </c>
      <c r="K13" s="0" t="s">
        <v>8</v>
      </c>
      <c r="L13" s="0" t="s">
        <v>9</v>
      </c>
      <c r="M13" s="2" t="s">
        <v>10</v>
      </c>
      <c r="N13" s="2" t="s">
        <v>20</v>
      </c>
      <c r="O13" s="2" t="s">
        <v>11</v>
      </c>
      <c r="P13" s="2" t="s">
        <v>12</v>
      </c>
    </row>
    <row r="14" customFormat="false" ht="12.8" hidden="false" customHeight="false" outlineLevel="0" collapsed="false">
      <c r="C14" s="2" t="s">
        <v>13</v>
      </c>
      <c r="D14" s="2" t="n">
        <f aca="false">AVERAGE(G14:P14)</f>
        <v>0.0916806</v>
      </c>
      <c r="E14" s="2" t="n">
        <f aca="false">STDEV(G14:P14)</f>
        <v>0.0271377710875451</v>
      </c>
      <c r="F14" s="2" t="s">
        <v>13</v>
      </c>
      <c r="G14" s="2" t="n">
        <v>0.092254</v>
      </c>
      <c r="H14" s="2" t="n">
        <v>0.07105</v>
      </c>
      <c r="I14" s="0" t="n">
        <v>0.102729</v>
      </c>
      <c r="J14" s="2" t="n">
        <v>0.070871</v>
      </c>
      <c r="K14" s="0" t="n">
        <v>0.088445</v>
      </c>
      <c r="L14" s="0" t="n">
        <v>0.07116</v>
      </c>
      <c r="M14" s="2" t="n">
        <v>0.161032</v>
      </c>
      <c r="N14" s="2" t="n">
        <v>0.072065</v>
      </c>
      <c r="O14" s="2" t="n">
        <v>0.090978</v>
      </c>
      <c r="P14" s="2" t="n">
        <v>0.096222</v>
      </c>
    </row>
    <row r="15" customFormat="false" ht="12.8" hidden="false" customHeight="false" outlineLevel="0" collapsed="false">
      <c r="C15" s="2" t="s">
        <v>2</v>
      </c>
      <c r="D15" s="2" t="n">
        <f aca="false">AVERAGE(G15:P15)</f>
        <v>0.0163576</v>
      </c>
      <c r="E15" s="2" t="n">
        <f aca="false">STDEV(G15:P15)</f>
        <v>0.000594469361886903</v>
      </c>
      <c r="F15" s="2" t="s">
        <v>2</v>
      </c>
      <c r="G15" s="2" t="n">
        <v>0.016974</v>
      </c>
      <c r="H15" s="2" t="n">
        <v>0.016023</v>
      </c>
      <c r="I15" s="0" t="n">
        <v>0.016842</v>
      </c>
      <c r="J15" s="2" t="n">
        <v>0.015734</v>
      </c>
      <c r="K15" s="0" t="n">
        <v>0.016912</v>
      </c>
      <c r="L15" s="0" t="n">
        <v>0.015776</v>
      </c>
      <c r="M15" s="2" t="n">
        <v>0.016374</v>
      </c>
      <c r="N15" s="2" t="n">
        <v>0.015376</v>
      </c>
      <c r="O15" s="2" t="n">
        <v>0.017</v>
      </c>
      <c r="P15" s="2" t="n">
        <v>0.016565</v>
      </c>
    </row>
    <row r="16" customFormat="false" ht="12.8" hidden="false" customHeight="false" outlineLevel="0" collapsed="false">
      <c r="C16" s="2" t="s">
        <v>14</v>
      </c>
      <c r="D16" s="2" t="n">
        <f aca="false">AVERAGE(G16:P16)</f>
        <v>0.0143323</v>
      </c>
      <c r="E16" s="2" t="n">
        <f aca="false">STDEV(G16:P16)</f>
        <v>0.000541564000526869</v>
      </c>
      <c r="F16" s="2" t="s">
        <v>14</v>
      </c>
      <c r="G16" s="2" t="n">
        <v>0.014437</v>
      </c>
      <c r="H16" s="2" t="n">
        <v>0.014379</v>
      </c>
      <c r="I16" s="0" t="n">
        <v>0.014509</v>
      </c>
      <c r="J16" s="2" t="n">
        <v>0.014082</v>
      </c>
      <c r="K16" s="0" t="n">
        <v>0.014956</v>
      </c>
      <c r="L16" s="0" t="n">
        <v>0.01381</v>
      </c>
      <c r="M16" s="2" t="n">
        <v>0.01377</v>
      </c>
      <c r="N16" s="2" t="n">
        <v>0.013661</v>
      </c>
      <c r="O16" s="2" t="n">
        <v>0.015383</v>
      </c>
      <c r="P16" s="2" t="n">
        <v>0.014336</v>
      </c>
    </row>
    <row r="17" customFormat="false" ht="12.8" hidden="false" customHeight="false" outlineLevel="0" collapsed="false">
      <c r="C17" s="2" t="s">
        <v>15</v>
      </c>
      <c r="D17" s="2" t="n">
        <f aca="false">AVERAGE(G17:P17)</f>
        <v>0.0013927</v>
      </c>
      <c r="E17" s="2" t="n">
        <f aca="false">STDEV(G17:P17)</f>
        <v>0.00049277266563802</v>
      </c>
      <c r="F17" s="2" t="s">
        <v>15</v>
      </c>
      <c r="G17" s="2" t="n">
        <v>0.00173</v>
      </c>
      <c r="H17" s="2" t="n">
        <v>0.000861</v>
      </c>
      <c r="I17" s="0" t="n">
        <v>0.001765</v>
      </c>
      <c r="J17" s="2" t="n">
        <v>0.001184</v>
      </c>
      <c r="K17" s="0" t="n">
        <v>0.001804</v>
      </c>
      <c r="L17" s="0" t="n">
        <v>0.00087</v>
      </c>
      <c r="M17" s="2" t="n">
        <v>0.001036</v>
      </c>
      <c r="N17" s="2" t="n">
        <v>0.000949</v>
      </c>
      <c r="O17" s="2" t="n">
        <v>0.001419</v>
      </c>
      <c r="P17" s="2" t="n">
        <v>0.002309</v>
      </c>
    </row>
    <row r="18" customFormat="false" ht="12.8" hidden="false" customHeight="false" outlineLevel="0" collapsed="false">
      <c r="A18" s="0" t="s">
        <v>21</v>
      </c>
      <c r="C18" s="2" t="s">
        <v>17</v>
      </c>
      <c r="D18" s="5" t="n">
        <f aca="false">AVERAGE(G18:P18)</f>
        <v>0.0189926</v>
      </c>
      <c r="E18" s="2" t="n">
        <f aca="false">STDEV(G18:P18)</f>
        <v>0.000853696042706848</v>
      </c>
      <c r="F18" s="2" t="s">
        <v>17</v>
      </c>
      <c r="G18" s="2" t="n">
        <v>0.020288</v>
      </c>
      <c r="H18" s="2" t="n">
        <v>0.018382</v>
      </c>
      <c r="I18" s="0" t="n">
        <v>0.019676</v>
      </c>
      <c r="J18" s="2" t="n">
        <v>0.017933</v>
      </c>
      <c r="K18" s="0" t="n">
        <v>0.019524</v>
      </c>
      <c r="L18" s="0" t="n">
        <v>0.018218</v>
      </c>
      <c r="M18" s="2" t="n">
        <v>0.019606</v>
      </c>
      <c r="N18" s="2" t="n">
        <v>0.017781</v>
      </c>
      <c r="O18" s="2" t="n">
        <v>0.019417</v>
      </c>
      <c r="P18" s="2" t="n">
        <v>0.019101</v>
      </c>
    </row>
    <row r="19" customFormat="false" ht="12.8" hidden="false" customHeight="false" outlineLevel="0" collapsed="false">
      <c r="C19" s="2" t="s">
        <v>18</v>
      </c>
      <c r="D19" s="2" t="n">
        <f aca="false">AVERAGE(G19:P19)</f>
        <v>0.3863195</v>
      </c>
      <c r="E19" s="2" t="n">
        <f aca="false">STDEV(G19:P19)</f>
        <v>0.0345720268979609</v>
      </c>
      <c r="F19" s="2" t="s">
        <v>18</v>
      </c>
      <c r="G19" s="2" t="n">
        <v>0.440016</v>
      </c>
      <c r="H19" s="2" t="n">
        <v>0.361218</v>
      </c>
      <c r="I19" s="0" t="n">
        <v>0.413867</v>
      </c>
      <c r="J19" s="2" t="n">
        <v>0.343791</v>
      </c>
      <c r="K19" s="0" t="n">
        <v>0.407508</v>
      </c>
      <c r="L19" s="0" t="n">
        <v>0.3548</v>
      </c>
      <c r="M19" s="2" t="n">
        <v>0.410922</v>
      </c>
      <c r="N19" s="2" t="n">
        <v>0.337997</v>
      </c>
      <c r="O19" s="2" t="n">
        <v>0.403037</v>
      </c>
      <c r="P19" s="2" t="n">
        <v>0.390039</v>
      </c>
    </row>
    <row r="20" customFormat="false" ht="12.8" hidden="false" customHeight="false" outlineLevel="0" collapsed="false">
      <c r="C20" s="2" t="s">
        <v>3</v>
      </c>
      <c r="D20" s="2" t="n">
        <f aca="false">AVERAGE(G20:P20)</f>
        <v>0.0096378</v>
      </c>
      <c r="E20" s="2" t="n">
        <f aca="false">STDEV(G20:P20)</f>
        <v>0.000824002939584832</v>
      </c>
      <c r="F20" s="2" t="s">
        <v>3</v>
      </c>
      <c r="G20" s="2" t="n">
        <v>0.011113</v>
      </c>
      <c r="H20" s="2" t="n">
        <v>0.009009</v>
      </c>
      <c r="I20" s="0" t="n">
        <v>0.010174</v>
      </c>
      <c r="J20" s="2" t="n">
        <v>0.008605</v>
      </c>
      <c r="K20" s="0" t="n">
        <v>0.009756</v>
      </c>
      <c r="L20" s="0" t="n">
        <v>0.009112</v>
      </c>
      <c r="M20" s="2" t="n">
        <v>0.010784</v>
      </c>
      <c r="N20" s="2" t="n">
        <v>0.008931</v>
      </c>
      <c r="O20" s="2" t="n">
        <v>0.009382</v>
      </c>
      <c r="P20" s="2" t="n">
        <v>0.009512</v>
      </c>
    </row>
    <row r="23" customFormat="false" ht="18.55" hidden="false" customHeight="false" outlineLevel="0" collapsed="false">
      <c r="C23" s="4" t="s">
        <v>22</v>
      </c>
    </row>
    <row r="24" customFormat="false" ht="12.8" hidden="false" customHeight="false" outlineLevel="0" collapsed="false">
      <c r="C24" s="2" t="s">
        <v>1</v>
      </c>
      <c r="D24" s="2" t="s">
        <v>2</v>
      </c>
      <c r="E24" s="2" t="s">
        <v>3</v>
      </c>
      <c r="F24" s="2" t="s">
        <v>1</v>
      </c>
      <c r="G24" s="2" t="s">
        <v>4</v>
      </c>
      <c r="H24" s="2" t="s">
        <v>5</v>
      </c>
      <c r="I24" s="2" t="s">
        <v>6</v>
      </c>
      <c r="J24" s="2" t="s">
        <v>7</v>
      </c>
      <c r="K24" s="2" t="s">
        <v>8</v>
      </c>
      <c r="L24" s="2" t="s">
        <v>9</v>
      </c>
      <c r="M24" s="2" t="s">
        <v>10</v>
      </c>
      <c r="N24" s="2" t="s">
        <v>20</v>
      </c>
      <c r="O24" s="2" t="s">
        <v>11</v>
      </c>
      <c r="P24" s="2" t="s">
        <v>12</v>
      </c>
    </row>
    <row r="25" customFormat="false" ht="12.8" hidden="false" customHeight="false" outlineLevel="0" collapsed="false">
      <c r="C25" s="2" t="s">
        <v>13</v>
      </c>
      <c r="D25" s="2" t="n">
        <f aca="false">AVERAGE(G25:P25)</f>
        <v>0.3280185</v>
      </c>
      <c r="E25" s="2" t="n">
        <f aca="false">STDEV(G25:P25)</f>
        <v>0.232748883797896</v>
      </c>
      <c r="F25" s="2" t="s">
        <v>13</v>
      </c>
      <c r="G25" s="2" t="n">
        <v>0.45047</v>
      </c>
      <c r="H25" s="2" t="n">
        <v>0.951004</v>
      </c>
      <c r="I25" s="2" t="n">
        <v>0.220147</v>
      </c>
      <c r="J25" s="2" t="n">
        <v>0.202313</v>
      </c>
      <c r="K25" s="2" t="n">
        <v>0.314459</v>
      </c>
      <c r="L25" s="2" t="n">
        <v>0.196603</v>
      </c>
      <c r="M25" s="2" t="n">
        <v>0.275031</v>
      </c>
      <c r="N25" s="2" t="n">
        <v>0.208922</v>
      </c>
      <c r="O25" s="2" t="n">
        <v>0.27296</v>
      </c>
      <c r="P25" s="2" t="n">
        <v>0.188276</v>
      </c>
    </row>
    <row r="26" customFormat="false" ht="12.8" hidden="false" customHeight="false" outlineLevel="0" collapsed="false">
      <c r="C26" s="2" t="s">
        <v>2</v>
      </c>
      <c r="D26" s="2" t="n">
        <f aca="false">AVERAGE(G26:P26)</f>
        <v>0.0286528</v>
      </c>
      <c r="E26" s="2" t="n">
        <f aca="false">STDEV(G26:P26)</f>
        <v>0.00509513266210454</v>
      </c>
      <c r="F26" s="2" t="s">
        <v>2</v>
      </c>
      <c r="G26" s="2" t="n">
        <v>0.042462</v>
      </c>
      <c r="H26" s="2" t="n">
        <v>0.027742</v>
      </c>
      <c r="I26" s="2" t="n">
        <v>0.024443</v>
      </c>
      <c r="J26" s="2" t="n">
        <v>0.025798</v>
      </c>
      <c r="K26" s="2" t="n">
        <v>0.029139</v>
      </c>
      <c r="L26" s="2" t="n">
        <v>0.026111</v>
      </c>
      <c r="M26" s="2" t="n">
        <v>0.028751</v>
      </c>
      <c r="N26" s="2" t="n">
        <v>0.027869</v>
      </c>
      <c r="O26" s="2" t="n">
        <v>0.028546</v>
      </c>
      <c r="P26" s="2" t="n">
        <v>0.025667</v>
      </c>
    </row>
    <row r="27" customFormat="false" ht="12.8" hidden="false" customHeight="false" outlineLevel="0" collapsed="false">
      <c r="C27" s="2" t="s">
        <v>14</v>
      </c>
      <c r="D27" s="2" t="n">
        <f aca="false">AVERAGE(G27:P27)</f>
        <v>0.0173069</v>
      </c>
      <c r="E27" s="2" t="n">
        <f aca="false">STDEV(G27:P27)</f>
        <v>0.00182585739068283</v>
      </c>
      <c r="F27" s="2" t="s">
        <v>14</v>
      </c>
      <c r="G27" s="2" t="n">
        <v>0.021471</v>
      </c>
      <c r="H27" s="2" t="n">
        <v>0.01618</v>
      </c>
      <c r="I27" s="2" t="n">
        <v>0.015048</v>
      </c>
      <c r="J27" s="2" t="n">
        <v>0.015511</v>
      </c>
      <c r="K27" s="2" t="n">
        <v>0.018835</v>
      </c>
      <c r="L27" s="2" t="n">
        <v>0.016558</v>
      </c>
      <c r="M27" s="2" t="n">
        <v>0.017569</v>
      </c>
      <c r="N27" s="2" t="n">
        <v>0.017042</v>
      </c>
      <c r="O27" s="2" t="n">
        <v>0.017393</v>
      </c>
      <c r="P27" s="2" t="n">
        <v>0.017462</v>
      </c>
    </row>
    <row r="28" customFormat="false" ht="12.8" hidden="false" customHeight="false" outlineLevel="0" collapsed="false">
      <c r="C28" s="2" t="s">
        <v>15</v>
      </c>
      <c r="D28" s="2" t="n">
        <f aca="false">AVERAGE(G28:P28)</f>
        <v>0.00169</v>
      </c>
      <c r="E28" s="2" t="n">
        <f aca="false">STDEV(G28:P28)</f>
        <v>0.000793386552836776</v>
      </c>
      <c r="F28" s="2" t="s">
        <v>15</v>
      </c>
      <c r="G28" s="2" t="n">
        <v>0.001713</v>
      </c>
      <c r="H28" s="2" t="n">
        <v>0.000996</v>
      </c>
      <c r="I28" s="2" t="n">
        <v>0.001989</v>
      </c>
      <c r="J28" s="2" t="n">
        <v>0.001261</v>
      </c>
      <c r="K28" s="2" t="n">
        <v>0.001956</v>
      </c>
      <c r="L28" s="2" t="n">
        <v>0.002072</v>
      </c>
      <c r="M28" s="2" t="n">
        <v>0.002676</v>
      </c>
      <c r="N28" s="2" t="n">
        <v>0.000802</v>
      </c>
      <c r="O28" s="2" t="n">
        <v>0.002928</v>
      </c>
      <c r="P28" s="2" t="n">
        <v>0.000507</v>
      </c>
    </row>
    <row r="29" customFormat="false" ht="12.8" hidden="false" customHeight="false" outlineLevel="0" collapsed="false">
      <c r="A29" s="0" t="s">
        <v>23</v>
      </c>
      <c r="C29" s="2" t="s">
        <v>17</v>
      </c>
      <c r="D29" s="5" t="n">
        <f aca="false">AVERAGE(G29:P29)</f>
        <v>0.0465538</v>
      </c>
      <c r="E29" s="2" t="n">
        <f aca="false">STDEV(G29:P29)</f>
        <v>0.0131377450610403</v>
      </c>
      <c r="F29" s="2" t="s">
        <v>17</v>
      </c>
      <c r="G29" s="2" t="n">
        <v>0.080329</v>
      </c>
      <c r="H29" s="2" t="n">
        <v>0.05248</v>
      </c>
      <c r="I29" s="2" t="n">
        <v>0.036669</v>
      </c>
      <c r="J29" s="2" t="n">
        <v>0.038324</v>
      </c>
      <c r="K29" s="2" t="n">
        <v>0.050517</v>
      </c>
      <c r="L29" s="2" t="n">
        <v>0.038487</v>
      </c>
      <c r="M29" s="2" t="n">
        <v>0.045922</v>
      </c>
      <c r="N29" s="2" t="n">
        <v>0.04171</v>
      </c>
      <c r="O29" s="2" t="n">
        <v>0.044754</v>
      </c>
      <c r="P29" s="2" t="n">
        <v>0.036346</v>
      </c>
    </row>
    <row r="30" customFormat="false" ht="12.8" hidden="false" customHeight="false" outlineLevel="0" collapsed="false">
      <c r="C30" s="2" t="s">
        <v>18</v>
      </c>
      <c r="D30" s="2" t="n">
        <f aca="false">AVERAGE(G30:P30)</f>
        <v>1.8394858</v>
      </c>
      <c r="E30" s="2" t="n">
        <f aca="false">STDEV(G30:P30)</f>
        <v>1.21502147186284</v>
      </c>
      <c r="F30" s="2" t="s">
        <v>18</v>
      </c>
      <c r="G30" s="2" t="n">
        <v>5.110606</v>
      </c>
      <c r="H30" s="2" t="n">
        <v>2.181276</v>
      </c>
      <c r="I30" s="2" t="n">
        <v>1.064918</v>
      </c>
      <c r="J30" s="2" t="n">
        <v>1.163219</v>
      </c>
      <c r="K30" s="2" t="n">
        <v>2.021146</v>
      </c>
      <c r="L30" s="2" t="n">
        <v>1.173124</v>
      </c>
      <c r="M30" s="2" t="n">
        <v>1.670166</v>
      </c>
      <c r="N30" s="2" t="n">
        <v>1.377856</v>
      </c>
      <c r="O30" s="2" t="n">
        <v>1.586313</v>
      </c>
      <c r="P30" s="2" t="n">
        <v>1.046234</v>
      </c>
    </row>
    <row r="31" customFormat="false" ht="12.8" hidden="false" customHeight="false" outlineLevel="0" collapsed="false">
      <c r="C31" s="2" t="s">
        <v>3</v>
      </c>
      <c r="D31" s="2" t="n">
        <f aca="false">AVERAGE(G31:P31)</f>
        <v>0.0364991</v>
      </c>
      <c r="E31" s="2" t="n">
        <f aca="false">STDEV(G31:P31)</f>
        <v>0.0127383262676067</v>
      </c>
      <c r="F31" s="2" t="s">
        <v>3</v>
      </c>
      <c r="G31" s="2" t="n">
        <v>0.068189</v>
      </c>
      <c r="H31" s="2" t="n">
        <v>0.044548</v>
      </c>
      <c r="I31" s="2" t="n">
        <v>0.027333</v>
      </c>
      <c r="J31" s="2" t="n">
        <v>0.028341</v>
      </c>
      <c r="K31" s="2" t="n">
        <v>0.041266</v>
      </c>
      <c r="L31" s="2" t="n">
        <v>0.028274</v>
      </c>
      <c r="M31" s="2" t="n">
        <v>0.035807</v>
      </c>
      <c r="N31" s="2" t="n">
        <v>0.031032</v>
      </c>
      <c r="O31" s="2" t="n">
        <v>0.034468</v>
      </c>
      <c r="P31" s="2" t="n">
        <v>0.025733</v>
      </c>
    </row>
    <row r="34" customFormat="false" ht="18.55" hidden="false" customHeight="false" outlineLevel="0" collapsed="false">
      <c r="C34" s="4" t="s">
        <v>24</v>
      </c>
    </row>
    <row r="35" customFormat="false" ht="12.8" hidden="false" customHeight="false" outlineLevel="0" collapsed="false">
      <c r="C35" s="2" t="s">
        <v>1</v>
      </c>
      <c r="D35" s="2" t="s">
        <v>2</v>
      </c>
      <c r="E35" s="2" t="s">
        <v>3</v>
      </c>
      <c r="F35" s="2" t="s">
        <v>1</v>
      </c>
      <c r="G35" s="2" t="s">
        <v>4</v>
      </c>
      <c r="H35" s="2" t="s">
        <v>5</v>
      </c>
      <c r="I35" s="2" t="s">
        <v>6</v>
      </c>
      <c r="J35" s="2" t="s">
        <v>7</v>
      </c>
      <c r="K35" s="2" t="s">
        <v>8</v>
      </c>
      <c r="L35" s="2" t="s">
        <v>9</v>
      </c>
      <c r="M35" s="2" t="s">
        <v>10</v>
      </c>
      <c r="N35" s="2" t="s">
        <v>20</v>
      </c>
      <c r="O35" s="2" t="s">
        <v>11</v>
      </c>
      <c r="P35" s="2"/>
    </row>
    <row r="36" customFormat="false" ht="12.8" hidden="false" customHeight="false" outlineLevel="0" collapsed="false">
      <c r="C36" s="2" t="s">
        <v>13</v>
      </c>
      <c r="D36" s="2" t="n">
        <f aca="false">AVERAGE(G36:P36)</f>
        <v>0.0233934444444444</v>
      </c>
      <c r="E36" s="2" t="n">
        <f aca="false">STDEV(G36:P36)</f>
        <v>0.00260739995546862</v>
      </c>
      <c r="F36" s="2" t="s">
        <v>13</v>
      </c>
      <c r="G36" s="2" t="n">
        <v>0.02249</v>
      </c>
      <c r="H36" s="2" t="n">
        <v>0.021902</v>
      </c>
      <c r="I36" s="2" t="n">
        <v>0.029079</v>
      </c>
      <c r="J36" s="2" t="n">
        <v>0.022632</v>
      </c>
      <c r="K36" s="2" t="n">
        <v>0.023032</v>
      </c>
      <c r="L36" s="2" t="n">
        <v>0.025486</v>
      </c>
      <c r="M36" s="2" t="n">
        <v>0.019873</v>
      </c>
      <c r="N36" s="2" t="n">
        <v>0.023819</v>
      </c>
      <c r="O36" s="2" t="n">
        <v>0.022228</v>
      </c>
      <c r="P36" s="2"/>
    </row>
    <row r="37" customFormat="false" ht="18.55" hidden="false" customHeight="false" outlineLevel="0" collapsed="false">
      <c r="C37" s="1" t="s">
        <v>2</v>
      </c>
      <c r="D37" s="1" t="n">
        <f aca="false">AVERAGE(G37:P37)</f>
        <v>0.006168</v>
      </c>
      <c r="E37" s="2" t="n">
        <f aca="false">STDEV(G37:P37)</f>
        <v>0.000327977895596639</v>
      </c>
      <c r="F37" s="2" t="s">
        <v>2</v>
      </c>
      <c r="G37" s="2" t="n">
        <v>0.006253</v>
      </c>
      <c r="H37" s="2" t="n">
        <v>0.006202</v>
      </c>
      <c r="I37" s="2" t="n">
        <v>0.006511</v>
      </c>
      <c r="J37" s="2" t="n">
        <v>0.006187</v>
      </c>
      <c r="K37" s="2" t="n">
        <v>0.006202</v>
      </c>
      <c r="L37" s="2" t="n">
        <v>0.006</v>
      </c>
      <c r="M37" s="2" t="n">
        <v>0.005625</v>
      </c>
      <c r="N37" s="2" t="n">
        <v>0.006708</v>
      </c>
      <c r="O37" s="2" t="n">
        <v>0.005824</v>
      </c>
      <c r="P37" s="2"/>
    </row>
    <row r="38" customFormat="false" ht="12.8" hidden="false" customHeight="false" outlineLevel="0" collapsed="false">
      <c r="C38" s="2" t="s">
        <v>14</v>
      </c>
      <c r="D38" s="2" t="n">
        <f aca="false">AVERAGE(G38:P38)</f>
        <v>0.005596</v>
      </c>
      <c r="E38" s="2" t="n">
        <f aca="false">STDEV(G38:P38)</f>
        <v>0.000252024304383526</v>
      </c>
      <c r="F38" s="2" t="s">
        <v>14</v>
      </c>
      <c r="G38" s="2" t="n">
        <v>0.005677</v>
      </c>
      <c r="H38" s="2" t="n">
        <v>0.005843</v>
      </c>
      <c r="I38" s="2" t="n">
        <v>0.005893</v>
      </c>
      <c r="J38" s="2" t="n">
        <v>0.005501</v>
      </c>
      <c r="K38" s="2" t="n">
        <v>0.005588</v>
      </c>
      <c r="L38" s="2" t="n">
        <v>0.005581</v>
      </c>
      <c r="M38" s="2" t="n">
        <v>0.005184</v>
      </c>
      <c r="N38" s="2" t="n">
        <v>0.005839</v>
      </c>
      <c r="O38" s="2" t="n">
        <v>0.005258</v>
      </c>
      <c r="P38" s="2"/>
    </row>
    <row r="39" customFormat="false" ht="12.8" hidden="false" customHeight="false" outlineLevel="0" collapsed="false">
      <c r="C39" s="2" t="s">
        <v>15</v>
      </c>
      <c r="D39" s="2" t="n">
        <f aca="false">AVERAGE(G39:P39)</f>
        <v>0.000552111111111111</v>
      </c>
      <c r="E39" s="2" t="n">
        <f aca="false">STDEV(G39:P39)</f>
        <v>0.000220449225698597</v>
      </c>
      <c r="F39" s="2" t="s">
        <v>15</v>
      </c>
      <c r="G39" s="2" t="n">
        <v>0.00084</v>
      </c>
      <c r="H39" s="2" t="n">
        <v>0.000481</v>
      </c>
      <c r="I39" s="2" t="n">
        <v>0.000698</v>
      </c>
      <c r="J39" s="2" t="n">
        <v>0.000346</v>
      </c>
      <c r="K39" s="2" t="n">
        <v>0.000746</v>
      </c>
      <c r="L39" s="2" t="n">
        <v>0.000403</v>
      </c>
      <c r="M39" s="2" t="n">
        <v>0.000495</v>
      </c>
      <c r="N39" s="2" t="n">
        <v>0.000766</v>
      </c>
      <c r="O39" s="2" t="n">
        <v>0.000194</v>
      </c>
      <c r="P39" s="2"/>
    </row>
    <row r="40" customFormat="false" ht="18.55" hidden="false" customHeight="false" outlineLevel="0" collapsed="false">
      <c r="A40" s="0" t="s">
        <v>25</v>
      </c>
      <c r="C40" s="1" t="s">
        <v>17</v>
      </c>
      <c r="D40" s="6" t="n">
        <f aca="false">AVERAGE(G40:P40)</f>
        <v>0.00703466666666667</v>
      </c>
      <c r="E40" s="2" t="n">
        <f aca="false">STDEV(G40:P40)</f>
        <v>0.000450276581669533</v>
      </c>
      <c r="F40" s="2" t="s">
        <v>17</v>
      </c>
      <c r="G40" s="2" t="n">
        <v>0.007013</v>
      </c>
      <c r="H40" s="2" t="n">
        <v>0.006944</v>
      </c>
      <c r="I40" s="2" t="n">
        <v>0.007584</v>
      </c>
      <c r="J40" s="2" t="n">
        <v>0.007027</v>
      </c>
      <c r="K40" s="2" t="n">
        <v>0.007089</v>
      </c>
      <c r="L40" s="2" t="n">
        <v>0.006849</v>
      </c>
      <c r="M40" s="2" t="n">
        <v>0.006318</v>
      </c>
      <c r="N40" s="2" t="n">
        <v>0.007824</v>
      </c>
      <c r="O40" s="2" t="n">
        <v>0.006664</v>
      </c>
      <c r="P40" s="2"/>
    </row>
    <row r="41" customFormat="false" ht="12.8" hidden="false" customHeight="false" outlineLevel="0" collapsed="false">
      <c r="C41" s="2" t="s">
        <v>18</v>
      </c>
      <c r="D41" s="2" t="n">
        <f aca="false">AVERAGE(G41:P41)</f>
        <v>0.0335748888888889</v>
      </c>
      <c r="E41" s="2" t="n">
        <f aca="false">STDEV(G41:P41)</f>
        <v>0.00432877772715476</v>
      </c>
      <c r="F41" s="2" t="s">
        <v>18</v>
      </c>
      <c r="G41" s="2" t="n">
        <v>0.033247</v>
      </c>
      <c r="H41" s="2" t="n">
        <v>0.0326</v>
      </c>
      <c r="I41" s="2" t="n">
        <v>0.038884</v>
      </c>
      <c r="J41" s="2" t="n">
        <v>0.033376</v>
      </c>
      <c r="K41" s="2" t="n">
        <v>0.033974</v>
      </c>
      <c r="L41" s="2" t="n">
        <v>0.031713</v>
      </c>
      <c r="M41" s="2" t="n">
        <v>0.026985</v>
      </c>
      <c r="N41" s="2" t="n">
        <v>0.041379</v>
      </c>
      <c r="O41" s="2" t="n">
        <v>0.030016</v>
      </c>
      <c r="P41" s="2"/>
    </row>
    <row r="42" customFormat="false" ht="18.55" hidden="false" customHeight="false" outlineLevel="0" collapsed="false">
      <c r="C42" s="1" t="s">
        <v>3</v>
      </c>
      <c r="D42" s="1" t="n">
        <f aca="false">AVERAGE(G42:P42)</f>
        <v>0.00337788888888889</v>
      </c>
      <c r="E42" s="2" t="n">
        <f aca="false">STDEV(G42:P42)</f>
        <v>0.000365783216005206</v>
      </c>
      <c r="F42" s="2" t="s">
        <v>3</v>
      </c>
      <c r="G42" s="2" t="n">
        <v>0.003175</v>
      </c>
      <c r="H42" s="2" t="n">
        <v>0.003125</v>
      </c>
      <c r="I42" s="2" t="n">
        <v>0.00389</v>
      </c>
      <c r="J42" s="2" t="n">
        <v>0.003331</v>
      </c>
      <c r="K42" s="2" t="n">
        <v>0.003435</v>
      </c>
      <c r="L42" s="2" t="n">
        <v>0.003304</v>
      </c>
      <c r="M42" s="2" t="n">
        <v>0.002877</v>
      </c>
      <c r="N42" s="2" t="n">
        <v>0.004027</v>
      </c>
      <c r="O42" s="2" t="n">
        <v>0.003237</v>
      </c>
      <c r="P42" s="2"/>
    </row>
    <row r="45" customFormat="false" ht="18.55" hidden="false" customHeight="false" outlineLevel="0" collapsed="false">
      <c r="C45" s="1" t="s">
        <v>26</v>
      </c>
    </row>
    <row r="46" customFormat="false" ht="12.8" hidden="false" customHeight="false" outlineLevel="0" collapsed="false">
      <c r="C46" s="2" t="s">
        <v>1</v>
      </c>
      <c r="D46" s="2" t="s">
        <v>2</v>
      </c>
      <c r="E46" s="2" t="s">
        <v>3</v>
      </c>
      <c r="F46" s="2" t="s">
        <v>1</v>
      </c>
      <c r="G46" s="2" t="s">
        <v>4</v>
      </c>
      <c r="H46" s="2" t="s">
        <v>5</v>
      </c>
      <c r="I46" s="2" t="s">
        <v>6</v>
      </c>
      <c r="J46" s="2" t="s">
        <v>7</v>
      </c>
      <c r="K46" s="2" t="s">
        <v>8</v>
      </c>
      <c r="L46" s="2" t="s">
        <v>10</v>
      </c>
      <c r="M46" s="2" t="s">
        <v>20</v>
      </c>
      <c r="N46" s="2" t="s">
        <v>11</v>
      </c>
      <c r="O46" s="2" t="s">
        <v>12</v>
      </c>
      <c r="P46" s="2"/>
    </row>
    <row r="47" customFormat="false" ht="12.8" hidden="false" customHeight="false" outlineLevel="0" collapsed="false">
      <c r="C47" s="2" t="s">
        <v>13</v>
      </c>
      <c r="D47" s="2" t="n">
        <f aca="false">AVERAGE(G47:P47)</f>
        <v>0.0527266666666667</v>
      </c>
      <c r="E47" s="2" t="n">
        <f aca="false">STDEV(G47:P47)</f>
        <v>0.0123972366174886</v>
      </c>
      <c r="F47" s="2" t="s">
        <v>13</v>
      </c>
      <c r="G47" s="2" t="n">
        <v>0.049934</v>
      </c>
      <c r="H47" s="2" t="n">
        <v>0.053389</v>
      </c>
      <c r="I47" s="2" t="n">
        <v>0.044439</v>
      </c>
      <c r="J47" s="2" t="n">
        <v>0.048799</v>
      </c>
      <c r="K47" s="2" t="n">
        <v>0.046868</v>
      </c>
      <c r="L47" s="2" t="n">
        <v>0.048263</v>
      </c>
      <c r="M47" s="2" t="n">
        <v>0.053842</v>
      </c>
      <c r="N47" s="2" t="n">
        <v>0.044449</v>
      </c>
      <c r="O47" s="2" t="n">
        <v>0.084557</v>
      </c>
      <c r="P47" s="2"/>
    </row>
    <row r="48" customFormat="false" ht="18.55" hidden="false" customHeight="false" outlineLevel="0" collapsed="false">
      <c r="C48" s="1" t="s">
        <v>2</v>
      </c>
      <c r="D48" s="1" t="n">
        <f aca="false">AVERAGE(G48:P48)</f>
        <v>0.0108715555555556</v>
      </c>
      <c r="E48" s="2" t="n">
        <f aca="false">STDEV(G48:P48)</f>
        <v>0.000491553178992648</v>
      </c>
      <c r="F48" s="2" t="s">
        <v>2</v>
      </c>
      <c r="G48" s="2" t="n">
        <v>0.010445</v>
      </c>
      <c r="H48" s="2" t="n">
        <v>0.01154</v>
      </c>
      <c r="I48" s="2" t="n">
        <v>0.011062</v>
      </c>
      <c r="J48" s="2" t="n">
        <v>0.010592</v>
      </c>
      <c r="K48" s="2" t="n">
        <v>0.010592</v>
      </c>
      <c r="L48" s="2" t="n">
        <v>0.010294</v>
      </c>
      <c r="M48" s="2" t="n">
        <v>0.011513</v>
      </c>
      <c r="N48" s="2" t="n">
        <v>0.010476</v>
      </c>
      <c r="O48" s="2" t="n">
        <v>0.01133</v>
      </c>
      <c r="P48" s="2"/>
    </row>
    <row r="49" customFormat="false" ht="12.8" hidden="false" customHeight="false" outlineLevel="0" collapsed="false">
      <c r="C49" s="2" t="s">
        <v>14</v>
      </c>
      <c r="D49" s="2" t="n">
        <f aca="false">AVERAGE(G49:P49)</f>
        <v>0.01</v>
      </c>
      <c r="E49" s="2" t="n">
        <f aca="false">STDEV(G49:P49)</f>
        <v>0.000422924934237744</v>
      </c>
      <c r="F49" s="2" t="s">
        <v>14</v>
      </c>
      <c r="G49" s="2" t="n">
        <v>0.00968</v>
      </c>
      <c r="H49" s="2" t="n">
        <v>0.010611</v>
      </c>
      <c r="I49" s="2" t="n">
        <v>0.010252</v>
      </c>
      <c r="J49" s="2" t="n">
        <v>0.009658</v>
      </c>
      <c r="K49" s="2" t="n">
        <v>0.009804</v>
      </c>
      <c r="L49" s="2" t="n">
        <v>0.009547</v>
      </c>
      <c r="M49" s="2" t="n">
        <v>0.010467</v>
      </c>
      <c r="N49" s="2" t="n">
        <v>0.009595</v>
      </c>
      <c r="O49" s="2" t="n">
        <v>0.010386</v>
      </c>
      <c r="P49" s="2"/>
    </row>
    <row r="50" customFormat="false" ht="12.8" hidden="false" customHeight="false" outlineLevel="0" collapsed="false">
      <c r="C50" s="2" t="s">
        <v>15</v>
      </c>
      <c r="D50" s="2" t="n">
        <f aca="false">AVERAGE(G50:P50)</f>
        <v>0.00104022222222222</v>
      </c>
      <c r="E50" s="2" t="n">
        <f aca="false">STDEV(G50:P50)</f>
        <v>0.000285729670220725</v>
      </c>
      <c r="F50" s="2" t="s">
        <v>15</v>
      </c>
      <c r="G50" s="2" t="n">
        <v>0.001053</v>
      </c>
      <c r="H50" s="2" t="n">
        <v>0.001276</v>
      </c>
      <c r="I50" s="2" t="n">
        <v>0.001387</v>
      </c>
      <c r="J50" s="2" t="n">
        <v>0.000898</v>
      </c>
      <c r="K50" s="2" t="n">
        <v>0.001262</v>
      </c>
      <c r="L50" s="2" t="n">
        <v>0.001332</v>
      </c>
      <c r="M50" s="2" t="n">
        <v>0.000761</v>
      </c>
      <c r="N50" s="2" t="n">
        <v>0.000632</v>
      </c>
      <c r="O50" s="2" t="n">
        <v>0.000761</v>
      </c>
      <c r="P50" s="2"/>
    </row>
    <row r="51" customFormat="false" ht="18.55" hidden="false" customHeight="false" outlineLevel="0" collapsed="false">
      <c r="A51" s="0" t="s">
        <v>27</v>
      </c>
      <c r="B51" s="7" t="s">
        <v>28</v>
      </c>
      <c r="C51" s="1" t="s">
        <v>17</v>
      </c>
      <c r="D51" s="3" t="n">
        <f aca="false">AVERAGE(G51:P51)</f>
        <v>0.0121501111111111</v>
      </c>
      <c r="E51" s="2" t="n">
        <f aca="false">STDEV(G51:P51)</f>
        <v>0.000595162676174431</v>
      </c>
      <c r="F51" s="2" t="s">
        <v>17</v>
      </c>
      <c r="G51" s="2" t="n">
        <v>0.011669</v>
      </c>
      <c r="H51" s="2" t="n">
        <v>0.012913</v>
      </c>
      <c r="I51" s="2" t="n">
        <v>0.012098</v>
      </c>
      <c r="J51" s="2" t="n">
        <v>0.011801</v>
      </c>
      <c r="K51" s="2" t="n">
        <v>0.011811</v>
      </c>
      <c r="L51" s="2" t="n">
        <v>0.011492</v>
      </c>
      <c r="M51" s="2" t="n">
        <v>0.013077</v>
      </c>
      <c r="N51" s="2" t="n">
        <v>0.01176</v>
      </c>
      <c r="O51" s="2" t="n">
        <v>0.01273</v>
      </c>
      <c r="P51" s="2"/>
    </row>
    <row r="52" customFormat="false" ht="12.8" hidden="false" customHeight="false" outlineLevel="0" collapsed="false">
      <c r="C52" s="2" t="s">
        <v>18</v>
      </c>
      <c r="D52" s="2" t="n">
        <f aca="false">AVERAGE(G52:P52)</f>
        <v>0.179893666666667</v>
      </c>
      <c r="E52" s="2" t="n">
        <f aca="false">STDEV(G52:P52)</f>
        <v>0.0178138527486336</v>
      </c>
      <c r="F52" s="2" t="s">
        <v>18</v>
      </c>
      <c r="G52" s="2" t="n">
        <v>0.165571</v>
      </c>
      <c r="H52" s="2" t="n">
        <v>0.202756</v>
      </c>
      <c r="I52" s="2" t="n">
        <v>0.177984</v>
      </c>
      <c r="J52" s="2" t="n">
        <v>0.169346</v>
      </c>
      <c r="K52" s="2" t="n">
        <v>0.169637</v>
      </c>
      <c r="L52" s="2" t="n">
        <v>0.160596</v>
      </c>
      <c r="M52" s="2" t="n">
        <v>0.207936</v>
      </c>
      <c r="N52" s="2" t="n">
        <v>0.168165</v>
      </c>
      <c r="O52" s="2" t="n">
        <v>0.197052</v>
      </c>
      <c r="P52" s="2"/>
    </row>
    <row r="53" customFormat="false" ht="18.55" hidden="false" customHeight="false" outlineLevel="0" collapsed="false">
      <c r="C53" s="1" t="s">
        <v>3</v>
      </c>
      <c r="D53" s="1" t="n">
        <f aca="false">AVERAGE(G53:P53)</f>
        <v>0.00542</v>
      </c>
      <c r="E53" s="2" t="n">
        <f aca="false">STDEV(G53:P53)</f>
        <v>0.000418439661122126</v>
      </c>
      <c r="F53" s="2" t="s">
        <v>3</v>
      </c>
      <c r="G53" s="2" t="n">
        <v>0.005201</v>
      </c>
      <c r="H53" s="2" t="n">
        <v>0.005794</v>
      </c>
      <c r="I53" s="2" t="n">
        <v>0.004899</v>
      </c>
      <c r="J53" s="2" t="n">
        <v>0.005203</v>
      </c>
      <c r="K53" s="2" t="n">
        <v>0.005227</v>
      </c>
      <c r="L53" s="2" t="n">
        <v>0.00511</v>
      </c>
      <c r="M53" s="2" t="n">
        <v>0.0062</v>
      </c>
      <c r="N53" s="2" t="n">
        <v>0.005343</v>
      </c>
      <c r="O53" s="2" t="n">
        <v>0.005803</v>
      </c>
      <c r="P53" s="2"/>
    </row>
    <row r="56" customFormat="false" ht="18.55" hidden="false" customHeight="false" outlineLevel="0" collapsed="false">
      <c r="C56" s="1" t="s">
        <v>29</v>
      </c>
    </row>
    <row r="57" customFormat="false" ht="12.8" hidden="false" customHeight="false" outlineLevel="0" collapsed="false">
      <c r="C57" s="2" t="s">
        <v>1</v>
      </c>
      <c r="D57" s="2" t="s">
        <v>2</v>
      </c>
      <c r="E57" s="2" t="s">
        <v>3</v>
      </c>
      <c r="F57" s="2" t="s">
        <v>1</v>
      </c>
      <c r="G57" s="2" t="s">
        <v>4</v>
      </c>
      <c r="H57" s="2" t="s">
        <v>5</v>
      </c>
      <c r="I57" s="2" t="s">
        <v>6</v>
      </c>
      <c r="J57" s="2" t="s">
        <v>7</v>
      </c>
      <c r="K57" s="2" t="s">
        <v>8</v>
      </c>
      <c r="L57" s="2" t="s">
        <v>9</v>
      </c>
      <c r="M57" s="2" t="s">
        <v>10</v>
      </c>
      <c r="N57" s="2" t="s">
        <v>20</v>
      </c>
      <c r="O57" s="2" t="s">
        <v>11</v>
      </c>
      <c r="P57" s="2" t="s">
        <v>12</v>
      </c>
    </row>
    <row r="58" customFormat="false" ht="12.8" hidden="false" customHeight="false" outlineLevel="0" collapsed="false">
      <c r="C58" s="2" t="s">
        <v>13</v>
      </c>
      <c r="D58" s="2" t="n">
        <f aca="false">AVERAGE(G58:P58)</f>
        <v>0.0852957</v>
      </c>
      <c r="E58" s="2" t="n">
        <f aca="false">STDEV(G58:P58)</f>
        <v>0.0131692667647907</v>
      </c>
      <c r="F58" s="2" t="s">
        <v>13</v>
      </c>
      <c r="G58" s="2" t="n">
        <v>0.105072</v>
      </c>
      <c r="H58" s="2" t="n">
        <v>0.078716</v>
      </c>
      <c r="I58" s="2" t="n">
        <v>0.066331</v>
      </c>
      <c r="J58" s="2" t="n">
        <v>0.076196</v>
      </c>
      <c r="K58" s="2" t="n">
        <v>0.078514</v>
      </c>
      <c r="L58" s="2" t="n">
        <v>0.092737</v>
      </c>
      <c r="M58" s="2" t="n">
        <v>0.076997</v>
      </c>
      <c r="N58" s="2" t="n">
        <v>0.081114</v>
      </c>
      <c r="O58" s="2" t="n">
        <v>0.107011</v>
      </c>
      <c r="P58" s="2" t="n">
        <v>0.090269</v>
      </c>
    </row>
    <row r="59" customFormat="false" ht="18.55" hidden="false" customHeight="false" outlineLevel="0" collapsed="false">
      <c r="C59" s="1" t="s">
        <v>2</v>
      </c>
      <c r="D59" s="1" t="n">
        <f aca="false">AVERAGE(G59:P59)</f>
        <v>0.0226598</v>
      </c>
      <c r="E59" s="2" t="n">
        <f aca="false">STDEV(G59:P59)</f>
        <v>0.000875126886038058</v>
      </c>
      <c r="F59" s="2" t="s">
        <v>2</v>
      </c>
      <c r="G59" s="2" t="n">
        <v>0.024046</v>
      </c>
      <c r="H59" s="2" t="n">
        <v>0.02187</v>
      </c>
      <c r="I59" s="2" t="n">
        <v>0.0215</v>
      </c>
      <c r="J59" s="2" t="n">
        <v>0.021478</v>
      </c>
      <c r="K59" s="2" t="n">
        <v>0.02355</v>
      </c>
      <c r="L59" s="2" t="n">
        <v>0.023509</v>
      </c>
      <c r="M59" s="2" t="n">
        <v>0.022703</v>
      </c>
      <c r="N59" s="2" t="n">
        <v>0.022773</v>
      </c>
      <c r="O59" s="2" t="n">
        <v>0.022403</v>
      </c>
      <c r="P59" s="2" t="n">
        <v>0.022766</v>
      </c>
    </row>
    <row r="60" customFormat="false" ht="12.8" hidden="false" customHeight="false" outlineLevel="0" collapsed="false">
      <c r="C60" s="2" t="s">
        <v>14</v>
      </c>
      <c r="D60" s="2" t="n">
        <f aca="false">AVERAGE(G60:P60)</f>
        <v>0.0195508</v>
      </c>
      <c r="E60" s="2" t="n">
        <f aca="false">STDEV(G60:P60)</f>
        <v>0.000669864961515876</v>
      </c>
      <c r="F60" s="2" t="s">
        <v>14</v>
      </c>
      <c r="G60" s="2" t="n">
        <v>0.020945</v>
      </c>
      <c r="H60" s="2" t="n">
        <v>0.018767</v>
      </c>
      <c r="I60" s="2" t="n">
        <v>0.019241</v>
      </c>
      <c r="J60" s="2" t="n">
        <v>0.018857</v>
      </c>
      <c r="K60" s="2" t="n">
        <v>0.020121</v>
      </c>
      <c r="L60" s="2" t="n">
        <v>0.020008</v>
      </c>
      <c r="M60" s="2" t="n">
        <v>0.019698</v>
      </c>
      <c r="N60" s="2" t="n">
        <v>0.019317</v>
      </c>
      <c r="O60" s="2" t="n">
        <v>0.019544</v>
      </c>
      <c r="P60" s="2" t="n">
        <v>0.01901</v>
      </c>
    </row>
    <row r="61" customFormat="false" ht="12.8" hidden="false" customHeight="false" outlineLevel="0" collapsed="false">
      <c r="C61" s="2" t="s">
        <v>15</v>
      </c>
      <c r="D61" s="2" t="n">
        <f aca="false">AVERAGE(G61:P61)</f>
        <v>0.0015877</v>
      </c>
      <c r="E61" s="2" t="n">
        <f aca="false">STDEV(G61:P61)</f>
        <v>0.000482508042535159</v>
      </c>
      <c r="F61" s="2" t="s">
        <v>15</v>
      </c>
      <c r="G61" s="2" t="n">
        <v>0.002299</v>
      </c>
      <c r="H61" s="2" t="n">
        <v>0.001548</v>
      </c>
      <c r="I61" s="2" t="n">
        <v>0.000882</v>
      </c>
      <c r="J61" s="2" t="n">
        <v>0.00101</v>
      </c>
      <c r="K61" s="2" t="n">
        <v>0.001912</v>
      </c>
      <c r="L61" s="2" t="n">
        <v>0.001822</v>
      </c>
      <c r="M61" s="2" t="n">
        <v>0.001656</v>
      </c>
      <c r="N61" s="2" t="n">
        <v>0.001929</v>
      </c>
      <c r="O61" s="2" t="n">
        <v>0.000956</v>
      </c>
      <c r="P61" s="2" t="n">
        <v>0.001863</v>
      </c>
    </row>
    <row r="62" customFormat="false" ht="18.55" hidden="false" customHeight="false" outlineLevel="0" collapsed="false">
      <c r="A62" s="0" t="s">
        <v>30</v>
      </c>
      <c r="B62" s="7" t="s">
        <v>31</v>
      </c>
      <c r="C62" s="1" t="s">
        <v>17</v>
      </c>
      <c r="D62" s="3" t="n">
        <f aca="false">AVERAGE(G62:P62)</f>
        <v>0.026196</v>
      </c>
      <c r="E62" s="2" t="n">
        <f aca="false">STDEV(G62:P62)</f>
        <v>0.00111611678003095</v>
      </c>
      <c r="F62" s="2" t="s">
        <v>17</v>
      </c>
      <c r="G62" s="2" t="n">
        <v>0.027799</v>
      </c>
      <c r="H62" s="2" t="n">
        <v>0.02529</v>
      </c>
      <c r="I62" s="2" t="n">
        <v>0.024525</v>
      </c>
      <c r="J62" s="2" t="n">
        <v>0.024674</v>
      </c>
      <c r="K62" s="2" t="n">
        <v>0.027115</v>
      </c>
      <c r="L62" s="2" t="n">
        <v>0.027499</v>
      </c>
      <c r="M62" s="2" t="n">
        <v>0.026213</v>
      </c>
      <c r="N62" s="2" t="n">
        <v>0.026442</v>
      </c>
      <c r="O62" s="2" t="n">
        <v>0.025968</v>
      </c>
      <c r="P62" s="2" t="n">
        <v>0.026435</v>
      </c>
    </row>
    <row r="63" customFormat="false" ht="12.8" hidden="false" customHeight="false" outlineLevel="0" collapsed="false">
      <c r="C63" s="2" t="s">
        <v>18</v>
      </c>
      <c r="D63" s="2" t="n">
        <f aca="false">AVERAGE(G63:P63)</f>
        <v>0.6990276</v>
      </c>
      <c r="E63" s="2" t="n">
        <f aca="false">STDEV(G63:P63)</f>
        <v>0.0592992804232152</v>
      </c>
      <c r="F63" s="2" t="s">
        <v>18</v>
      </c>
      <c r="G63" s="2" t="n">
        <v>0.785906</v>
      </c>
      <c r="H63" s="2" t="n">
        <v>0.650437</v>
      </c>
      <c r="I63" s="2" t="n">
        <v>0.611683</v>
      </c>
      <c r="J63" s="2" t="n">
        <v>0.619144</v>
      </c>
      <c r="K63" s="2" t="n">
        <v>0.747729</v>
      </c>
      <c r="L63" s="2" t="n">
        <v>0.769027</v>
      </c>
      <c r="M63" s="2" t="n">
        <v>0.698791</v>
      </c>
      <c r="N63" s="2" t="n">
        <v>0.711066</v>
      </c>
      <c r="O63" s="2" t="n">
        <v>0.68579</v>
      </c>
      <c r="P63" s="2" t="n">
        <v>0.710703</v>
      </c>
    </row>
    <row r="64" customFormat="false" ht="18.55" hidden="false" customHeight="false" outlineLevel="0" collapsed="false">
      <c r="C64" s="1" t="s">
        <v>3</v>
      </c>
      <c r="D64" s="1" t="n">
        <f aca="false">AVERAGE(G64:P64)</f>
        <v>0.0131407</v>
      </c>
      <c r="E64" s="2" t="n">
        <f aca="false">STDEV(G64:P64)</f>
        <v>0.000758223515857956</v>
      </c>
      <c r="F64" s="2" t="s">
        <v>3</v>
      </c>
      <c r="G64" s="2" t="n">
        <v>0.013949</v>
      </c>
      <c r="H64" s="2" t="n">
        <v>0.0127</v>
      </c>
      <c r="I64" s="2" t="n">
        <v>0.011798</v>
      </c>
      <c r="J64" s="2" t="n">
        <v>0.012145</v>
      </c>
      <c r="K64" s="2" t="n">
        <v>0.01344</v>
      </c>
      <c r="L64" s="2" t="n">
        <v>0.014266</v>
      </c>
      <c r="M64" s="2" t="n">
        <v>0.013104</v>
      </c>
      <c r="N64" s="2" t="n">
        <v>0.013437</v>
      </c>
      <c r="O64" s="2" t="n">
        <v>0.013132</v>
      </c>
      <c r="P64" s="2" t="n">
        <v>0.013436</v>
      </c>
    </row>
    <row r="68" customFormat="false" ht="18.55" hidden="false" customHeight="false" outlineLevel="0" collapsed="false">
      <c r="C68" s="1" t="s">
        <v>32</v>
      </c>
    </row>
    <row r="69" customFormat="false" ht="12.8" hidden="false" customHeight="false" outlineLevel="0" collapsed="false">
      <c r="C69" s="2" t="s">
        <v>1</v>
      </c>
      <c r="D69" s="2" t="s">
        <v>2</v>
      </c>
      <c r="E69" s="2" t="s">
        <v>3</v>
      </c>
      <c r="F69" s="2" t="s">
        <v>1</v>
      </c>
      <c r="G69" s="2" t="s">
        <v>4</v>
      </c>
      <c r="H69" s="2" t="s">
        <v>5</v>
      </c>
      <c r="I69" s="2" t="s">
        <v>6</v>
      </c>
      <c r="J69" s="2" t="s">
        <v>8</v>
      </c>
      <c r="K69" s="2" t="s">
        <v>9</v>
      </c>
      <c r="L69" s="2" t="s">
        <v>10</v>
      </c>
      <c r="M69" s="2" t="s">
        <v>20</v>
      </c>
      <c r="N69" s="2" t="s">
        <v>11</v>
      </c>
      <c r="O69" s="2" t="s">
        <v>12</v>
      </c>
      <c r="P69" s="2"/>
    </row>
    <row r="70" customFormat="false" ht="12.8" hidden="false" customHeight="false" outlineLevel="0" collapsed="false">
      <c r="C70" s="2" t="s">
        <v>13</v>
      </c>
      <c r="D70" s="2" t="n">
        <f aca="false">AVERAGE(G70:P70)</f>
        <v>0.381051333333333</v>
      </c>
      <c r="E70" s="2" t="n">
        <f aca="false">STDEV(G70:P70)</f>
        <v>0.287033539523694</v>
      </c>
      <c r="F70" s="2" t="s">
        <v>13</v>
      </c>
      <c r="G70" s="2" t="n">
        <v>0.369695</v>
      </c>
      <c r="H70" s="2" t="n">
        <v>0.210699</v>
      </c>
      <c r="I70" s="2" t="n">
        <v>0.259132</v>
      </c>
      <c r="J70" s="2" t="n">
        <v>1.085116</v>
      </c>
      <c r="K70" s="2" t="n">
        <v>0.392011</v>
      </c>
      <c r="L70" s="2" t="n">
        <v>0.134322</v>
      </c>
      <c r="M70" s="2" t="n">
        <v>0.378258</v>
      </c>
      <c r="N70" s="2" t="n">
        <v>0.149647</v>
      </c>
      <c r="O70" s="2" t="n">
        <v>0.450582</v>
      </c>
      <c r="P70" s="2"/>
    </row>
    <row r="71" customFormat="false" ht="18.55" hidden="false" customHeight="false" outlineLevel="0" collapsed="false">
      <c r="C71" s="1" t="s">
        <v>2</v>
      </c>
      <c r="D71" s="1" t="n">
        <f aca="false">AVERAGE(G71:P71)</f>
        <v>0.0401481111111111</v>
      </c>
      <c r="E71" s="2" t="n">
        <f aca="false">STDEV(G71:P71)</f>
        <v>0.0122706458514257</v>
      </c>
      <c r="F71" s="2" t="s">
        <v>2</v>
      </c>
      <c r="G71" s="2" t="n">
        <v>0.049255</v>
      </c>
      <c r="H71" s="2" t="n">
        <v>0.026613</v>
      </c>
      <c r="I71" s="2" t="n">
        <v>0.029998</v>
      </c>
      <c r="J71" s="2" t="n">
        <v>0.054107</v>
      </c>
      <c r="K71" s="2" t="n">
        <v>0.049688</v>
      </c>
      <c r="L71" s="2" t="n">
        <v>0.026774</v>
      </c>
      <c r="M71" s="2" t="n">
        <v>0.04188</v>
      </c>
      <c r="N71" s="2" t="n">
        <v>0.028019</v>
      </c>
      <c r="O71" s="2" t="n">
        <v>0.054999</v>
      </c>
      <c r="P71" s="2"/>
    </row>
    <row r="72" customFormat="false" ht="12.8" hidden="false" customHeight="false" outlineLevel="0" collapsed="false">
      <c r="C72" s="2" t="s">
        <v>14</v>
      </c>
      <c r="D72" s="2" t="n">
        <f aca="false">AVERAGE(G72:P72)</f>
        <v>0.0261325555555556</v>
      </c>
      <c r="E72" s="2" t="n">
        <f aca="false">STDEV(G72:P72)</f>
        <v>0.00452909836808363</v>
      </c>
      <c r="F72" s="2" t="s">
        <v>14</v>
      </c>
      <c r="G72" s="2" t="n">
        <v>0.027707</v>
      </c>
      <c r="H72" s="2" t="n">
        <v>0.021098</v>
      </c>
      <c r="I72" s="2" t="n">
        <v>0.023236</v>
      </c>
      <c r="J72" s="2" t="n">
        <v>0.027952</v>
      </c>
      <c r="K72" s="2" t="n">
        <v>0.031113</v>
      </c>
      <c r="L72" s="2" t="n">
        <v>0.021594</v>
      </c>
      <c r="M72" s="2" t="n">
        <v>0.025525</v>
      </c>
      <c r="N72" s="2" t="n">
        <v>0.022664</v>
      </c>
      <c r="O72" s="2" t="n">
        <v>0.034304</v>
      </c>
      <c r="P72" s="2"/>
    </row>
    <row r="73" customFormat="false" ht="12.8" hidden="false" customHeight="false" outlineLevel="0" collapsed="false">
      <c r="C73" s="2" t="s">
        <v>15</v>
      </c>
      <c r="D73" s="2" t="n">
        <f aca="false">AVERAGE(G73:P73)</f>
        <v>0.00271277777777778</v>
      </c>
      <c r="E73" s="2" t="n">
        <f aca="false">STDEV(G73:P73)</f>
        <v>0.0007076197385916</v>
      </c>
      <c r="F73" s="2" t="s">
        <v>15</v>
      </c>
      <c r="G73" s="2" t="n">
        <v>0.003582</v>
      </c>
      <c r="H73" s="2" t="n">
        <v>0.002976</v>
      </c>
      <c r="I73" s="2" t="n">
        <v>0.002103</v>
      </c>
      <c r="J73" s="2" t="n">
        <v>0.002067</v>
      </c>
      <c r="K73" s="2" t="n">
        <v>0.002536</v>
      </c>
      <c r="L73" s="2" t="n">
        <v>0.00281</v>
      </c>
      <c r="M73" s="2" t="n">
        <v>0.002978</v>
      </c>
      <c r="N73" s="2" t="n">
        <v>0.001614</v>
      </c>
      <c r="O73" s="2" t="n">
        <v>0.003749</v>
      </c>
      <c r="P73" s="2"/>
    </row>
    <row r="74" customFormat="false" ht="18.55" hidden="false" customHeight="false" outlineLevel="0" collapsed="false">
      <c r="A74" s="0" t="s">
        <v>33</v>
      </c>
      <c r="B74" s="7" t="s">
        <v>34</v>
      </c>
      <c r="C74" s="1" t="s">
        <v>17</v>
      </c>
      <c r="D74" s="3" t="n">
        <f aca="false">AVERAGE(G74:P74)</f>
        <v>0.065678</v>
      </c>
      <c r="E74" s="2" t="n">
        <f aca="false">STDEV(G74:P74)</f>
        <v>0.0298233391784019</v>
      </c>
      <c r="F74" s="2" t="s">
        <v>17</v>
      </c>
      <c r="G74" s="2" t="n">
        <v>0.088884</v>
      </c>
      <c r="H74" s="2" t="n">
        <v>0.034225</v>
      </c>
      <c r="I74" s="2" t="n">
        <v>0.039711</v>
      </c>
      <c r="J74" s="2" t="n">
        <v>0.103186</v>
      </c>
      <c r="K74" s="2" t="n">
        <v>0.08586</v>
      </c>
      <c r="L74" s="2" t="n">
        <v>0.034019</v>
      </c>
      <c r="M74" s="2" t="n">
        <v>0.072595</v>
      </c>
      <c r="N74" s="2" t="n">
        <v>0.034309</v>
      </c>
      <c r="O74" s="2" t="n">
        <v>0.098313</v>
      </c>
      <c r="P74" s="2"/>
    </row>
    <row r="75" customFormat="false" ht="12.8" hidden="false" customHeight="false" outlineLevel="0" collapsed="false">
      <c r="C75" s="2" t="s">
        <v>18</v>
      </c>
      <c r="D75" s="2" t="n">
        <f aca="false">AVERAGE(G75:P75)</f>
        <v>4.410039</v>
      </c>
      <c r="E75" s="2" t="n">
        <f aca="false">STDEV(G75:P75)</f>
        <v>3.39373530578686</v>
      </c>
      <c r="F75" s="2" t="s">
        <v>18</v>
      </c>
      <c r="G75" s="2" t="n">
        <v>6.825926</v>
      </c>
      <c r="H75" s="2" t="n">
        <v>1.01206</v>
      </c>
      <c r="I75" s="2" t="n">
        <v>1.362525</v>
      </c>
      <c r="J75" s="2" t="n">
        <v>9.199326</v>
      </c>
      <c r="K75" s="2" t="n">
        <v>6.369382</v>
      </c>
      <c r="L75" s="2" t="n">
        <v>0.999887</v>
      </c>
      <c r="M75" s="2" t="n">
        <v>4.553272</v>
      </c>
      <c r="N75" s="2" t="n">
        <v>1.017015</v>
      </c>
      <c r="O75" s="2" t="n">
        <v>8.350958</v>
      </c>
      <c r="P75" s="2"/>
    </row>
    <row r="76" customFormat="false" ht="18.55" hidden="false" customHeight="false" outlineLevel="0" collapsed="false">
      <c r="C76" s="1" t="s">
        <v>3</v>
      </c>
      <c r="D76" s="1" t="n">
        <f aca="false">AVERAGE(G76:P76)</f>
        <v>0.0512207777777778</v>
      </c>
      <c r="E76" s="2" t="n">
        <f aca="false">STDEV(G76:P76)</f>
        <v>0.0287541600458863</v>
      </c>
      <c r="F76" s="2" t="s">
        <v>3</v>
      </c>
      <c r="G76" s="2" t="n">
        <v>0.073989</v>
      </c>
      <c r="H76" s="2" t="n">
        <v>0.02152</v>
      </c>
      <c r="I76" s="2" t="n">
        <v>0.026022</v>
      </c>
      <c r="J76" s="2" t="n">
        <v>0.087862</v>
      </c>
      <c r="K76" s="2" t="n">
        <v>0.070022</v>
      </c>
      <c r="L76" s="2" t="n">
        <v>0.020986</v>
      </c>
      <c r="M76" s="2" t="n">
        <v>0.059296</v>
      </c>
      <c r="N76" s="2" t="n">
        <v>0.0198</v>
      </c>
      <c r="O76" s="2" t="n">
        <v>0.08149</v>
      </c>
      <c r="P76" s="2"/>
    </row>
    <row r="81" customFormat="false" ht="18.55" hidden="false" customHeight="false" outlineLevel="0" collapsed="false">
      <c r="C81" s="1" t="s">
        <v>35</v>
      </c>
    </row>
    <row r="82" customFormat="false" ht="12.8" hidden="false" customHeight="false" outlineLevel="0" collapsed="false">
      <c r="C82" s="2" t="s">
        <v>1</v>
      </c>
      <c r="D82" s="2" t="s">
        <v>2</v>
      </c>
      <c r="E82" s="2" t="s">
        <v>3</v>
      </c>
      <c r="F82" s="2" t="s">
        <v>1</v>
      </c>
      <c r="G82" s="2" t="s">
        <v>4</v>
      </c>
      <c r="H82" s="2" t="s">
        <v>5</v>
      </c>
      <c r="I82" s="2" t="s">
        <v>6</v>
      </c>
      <c r="J82" s="2" t="s">
        <v>7</v>
      </c>
      <c r="K82" s="2" t="s">
        <v>8</v>
      </c>
      <c r="L82" s="2" t="s">
        <v>9</v>
      </c>
      <c r="M82" s="2" t="s">
        <v>10</v>
      </c>
      <c r="N82" s="2" t="s">
        <v>20</v>
      </c>
      <c r="O82" s="2" t="s">
        <v>11</v>
      </c>
      <c r="P82" s="2" t="s">
        <v>12</v>
      </c>
    </row>
    <row r="83" customFormat="false" ht="12.8" hidden="false" customHeight="false" outlineLevel="0" collapsed="false">
      <c r="C83" s="2" t="s">
        <v>13</v>
      </c>
      <c r="D83" s="2" t="n">
        <f aca="false">AVERAGE(G83:P83)</f>
        <v>0.0370202</v>
      </c>
      <c r="E83" s="2" t="n">
        <f aca="false">STDEV(G83:P83)</f>
        <v>0.00990417442630463</v>
      </c>
      <c r="F83" s="2" t="s">
        <v>13</v>
      </c>
      <c r="G83" s="2" t="n">
        <v>0.038498</v>
      </c>
      <c r="H83" s="2" t="n">
        <v>0.051985</v>
      </c>
      <c r="I83" s="2" t="n">
        <v>0.027168</v>
      </c>
      <c r="J83" s="2" t="n">
        <v>0.050685</v>
      </c>
      <c r="K83" s="2" t="n">
        <v>0.025538</v>
      </c>
      <c r="L83" s="2" t="n">
        <v>0.030411</v>
      </c>
      <c r="M83" s="2" t="n">
        <v>0.027962</v>
      </c>
      <c r="N83" s="2" t="n">
        <v>0.038572</v>
      </c>
      <c r="O83" s="2" t="n">
        <v>0.046715</v>
      </c>
      <c r="P83" s="2" t="n">
        <v>0.032668</v>
      </c>
    </row>
    <row r="84" customFormat="false" ht="18.55" hidden="false" customHeight="false" outlineLevel="0" collapsed="false">
      <c r="C84" s="1" t="s">
        <v>2</v>
      </c>
      <c r="D84" s="1" t="n">
        <f aca="false">AVERAGE(G84:P84)</f>
        <v>0.0062744</v>
      </c>
      <c r="E84" s="2" t="n">
        <f aca="false">STDEV(G84:P84)</f>
        <v>0.000367687729828814</v>
      </c>
      <c r="F84" s="2" t="s">
        <v>2</v>
      </c>
      <c r="G84" s="2" t="n">
        <v>0.005999</v>
      </c>
      <c r="H84" s="2" t="n">
        <v>0.006495</v>
      </c>
      <c r="I84" s="2" t="n">
        <v>0.006242</v>
      </c>
      <c r="J84" s="2" t="n">
        <v>0.007087</v>
      </c>
      <c r="K84" s="2" t="n">
        <v>0.006282</v>
      </c>
      <c r="L84" s="2" t="n">
        <v>0.006207</v>
      </c>
      <c r="M84" s="2" t="n">
        <v>0.005755</v>
      </c>
      <c r="N84" s="2" t="n">
        <v>0.006134</v>
      </c>
      <c r="O84" s="2" t="n">
        <v>0.006533</v>
      </c>
      <c r="P84" s="2" t="n">
        <v>0.00601</v>
      </c>
    </row>
    <row r="85" customFormat="false" ht="12.8" hidden="false" customHeight="false" outlineLevel="0" collapsed="false">
      <c r="C85" s="2" t="s">
        <v>14</v>
      </c>
      <c r="D85" s="2" t="n">
        <f aca="false">AVERAGE(G85:P85)</f>
        <v>0.0057222</v>
      </c>
      <c r="E85" s="2" t="n">
        <f aca="false">STDEV(G85:P85)</f>
        <v>0.000410381611024016</v>
      </c>
      <c r="F85" s="2" t="s">
        <v>14</v>
      </c>
      <c r="G85" s="2" t="n">
        <v>0.005602</v>
      </c>
      <c r="H85" s="2" t="n">
        <v>0.005855</v>
      </c>
      <c r="I85" s="2" t="n">
        <v>0.005734</v>
      </c>
      <c r="J85" s="2" t="n">
        <v>0.006563</v>
      </c>
      <c r="K85" s="2" t="n">
        <v>0.005816</v>
      </c>
      <c r="L85" s="2" t="n">
        <v>0.005885</v>
      </c>
      <c r="M85" s="2" t="n">
        <v>0.005021</v>
      </c>
      <c r="N85" s="2" t="n">
        <v>0.005595</v>
      </c>
      <c r="O85" s="2" t="n">
        <v>0.005884</v>
      </c>
      <c r="P85" s="2" t="n">
        <v>0.005267</v>
      </c>
    </row>
    <row r="86" customFormat="false" ht="12.8" hidden="false" customHeight="false" outlineLevel="0" collapsed="false">
      <c r="C86" s="2" t="s">
        <v>15</v>
      </c>
      <c r="D86" s="2" t="n">
        <f aca="false">AVERAGE(G86:P86)</f>
        <v>0.0005371</v>
      </c>
      <c r="E86" s="2" t="n">
        <f aca="false">STDEV(G86:P86)</f>
        <v>0.0002064506666925</v>
      </c>
      <c r="F86" s="2" t="s">
        <v>15</v>
      </c>
      <c r="G86" s="2" t="n">
        <v>0.00055</v>
      </c>
      <c r="H86" s="2" t="n">
        <v>0.000672</v>
      </c>
      <c r="I86" s="2" t="n">
        <v>0.000555</v>
      </c>
      <c r="J86" s="2" t="n">
        <v>0.000248</v>
      </c>
      <c r="K86" s="2" t="n">
        <v>0.000267</v>
      </c>
      <c r="L86" s="2" t="n">
        <v>0.00049</v>
      </c>
      <c r="M86" s="2" t="n">
        <v>0.000647</v>
      </c>
      <c r="N86" s="2" t="n">
        <v>0.000403</v>
      </c>
      <c r="O86" s="2" t="n">
        <v>0.000954</v>
      </c>
      <c r="P86" s="2" t="n">
        <v>0.000585</v>
      </c>
    </row>
    <row r="87" customFormat="false" ht="18.55" hidden="false" customHeight="false" outlineLevel="0" collapsed="false">
      <c r="A87" s="0" t="s">
        <v>36</v>
      </c>
      <c r="C87" s="1" t="s">
        <v>17</v>
      </c>
      <c r="D87" s="6" t="n">
        <f aca="false">AVERAGE(G87:P87)</f>
        <v>0.0072192</v>
      </c>
      <c r="E87" s="2" t="n">
        <f aca="false">STDEV(G87:P87)</f>
        <v>0.000479473739287843</v>
      </c>
      <c r="F87" s="2" t="s">
        <v>17</v>
      </c>
      <c r="G87" s="2" t="n">
        <v>0.006856</v>
      </c>
      <c r="H87" s="2" t="n">
        <v>0.007653</v>
      </c>
      <c r="I87" s="2" t="n">
        <v>0.007092</v>
      </c>
      <c r="J87" s="2" t="n">
        <v>0.008268</v>
      </c>
      <c r="K87" s="2" t="n">
        <v>0.007047</v>
      </c>
      <c r="L87" s="2" t="n">
        <v>0.006984</v>
      </c>
      <c r="M87" s="2" t="n">
        <v>0.006691</v>
      </c>
      <c r="N87" s="2" t="n">
        <v>0.007081</v>
      </c>
      <c r="O87" s="2" t="n">
        <v>0.007611</v>
      </c>
      <c r="P87" s="2" t="n">
        <v>0.006909</v>
      </c>
    </row>
    <row r="88" customFormat="false" ht="12.8" hidden="false" customHeight="false" outlineLevel="0" collapsed="false">
      <c r="C88" s="2" t="s">
        <v>18</v>
      </c>
      <c r="D88" s="2" t="n">
        <f aca="false">AVERAGE(G88:P88)</f>
        <v>0.0373597</v>
      </c>
      <c r="E88" s="2" t="n">
        <f aca="false">STDEV(G88:P88)</f>
        <v>0.00511679706782801</v>
      </c>
      <c r="F88" s="2" t="s">
        <v>18</v>
      </c>
      <c r="G88" s="2" t="n">
        <v>0.033566</v>
      </c>
      <c r="H88" s="2" t="n">
        <v>0.041819</v>
      </c>
      <c r="I88" s="2" t="n">
        <v>0.035912</v>
      </c>
      <c r="J88" s="2" t="n">
        <v>0.048806</v>
      </c>
      <c r="K88" s="2" t="n">
        <v>0.035459</v>
      </c>
      <c r="L88" s="2" t="n">
        <v>0.034822</v>
      </c>
      <c r="M88" s="2" t="n">
        <v>0.03197</v>
      </c>
      <c r="N88" s="2" t="n">
        <v>0.035804</v>
      </c>
      <c r="O88" s="2" t="n">
        <v>0.041357</v>
      </c>
      <c r="P88" s="2" t="n">
        <v>0.034082</v>
      </c>
    </row>
    <row r="89" customFormat="false" ht="18.55" hidden="false" customHeight="false" outlineLevel="0" collapsed="false">
      <c r="C89" s="1" t="s">
        <v>3</v>
      </c>
      <c r="D89" s="1" t="n">
        <f aca="false">AVERAGE(G89:P89)</f>
        <v>0.0035648</v>
      </c>
      <c r="E89" s="2" t="n">
        <f aca="false">STDEV(G89:P89)</f>
        <v>0.000371899568282741</v>
      </c>
      <c r="F89" s="2" t="s">
        <v>3</v>
      </c>
      <c r="G89" s="2" t="n">
        <v>0.00332</v>
      </c>
      <c r="H89" s="2" t="n">
        <v>0.004047</v>
      </c>
      <c r="I89" s="2" t="n">
        <v>0.003366</v>
      </c>
      <c r="J89" s="2" t="n">
        <v>0.004257</v>
      </c>
      <c r="K89" s="2" t="n">
        <v>0.003193</v>
      </c>
      <c r="L89" s="2" t="n">
        <v>0.003201</v>
      </c>
      <c r="M89" s="2" t="n">
        <v>0.003413</v>
      </c>
      <c r="N89" s="2" t="n">
        <v>0.003538</v>
      </c>
      <c r="O89" s="2" t="n">
        <v>0.003904</v>
      </c>
      <c r="P89" s="2" t="n">
        <v>0.003409</v>
      </c>
    </row>
    <row r="91" customFormat="false" ht="18.55" hidden="false" customHeight="false" outlineLevel="0" collapsed="false">
      <c r="C91" s="1" t="s">
        <v>37</v>
      </c>
    </row>
    <row r="92" customFormat="false" ht="12.8" hidden="false" customHeight="false" outlineLevel="0" collapsed="false">
      <c r="C92" s="2" t="s">
        <v>1</v>
      </c>
      <c r="D92" s="2" t="s">
        <v>2</v>
      </c>
      <c r="E92" s="2" t="s">
        <v>3</v>
      </c>
      <c r="F92" s="2" t="s">
        <v>1</v>
      </c>
      <c r="G92" s="2" t="s">
        <v>4</v>
      </c>
      <c r="H92" s="2" t="s">
        <v>5</v>
      </c>
      <c r="I92" s="2" t="s">
        <v>6</v>
      </c>
      <c r="J92" s="2" t="s">
        <v>7</v>
      </c>
      <c r="K92" s="2" t="s">
        <v>8</v>
      </c>
      <c r="L92" s="2" t="s">
        <v>9</v>
      </c>
      <c r="M92" s="2" t="s">
        <v>10</v>
      </c>
      <c r="N92" s="2" t="s">
        <v>20</v>
      </c>
      <c r="O92" s="2" t="s">
        <v>11</v>
      </c>
      <c r="P92" s="2" t="s">
        <v>12</v>
      </c>
    </row>
    <row r="93" customFormat="false" ht="12.8" hidden="false" customHeight="false" outlineLevel="0" collapsed="false">
      <c r="C93" s="2" t="s">
        <v>13</v>
      </c>
      <c r="D93" s="2" t="n">
        <f aca="false">AVERAGE(G93:P93)</f>
        <v>0.0555873</v>
      </c>
      <c r="E93" s="2" t="n">
        <f aca="false">STDEV(G93:P93)</f>
        <v>0.00852860309064607</v>
      </c>
      <c r="F93" s="2" t="s">
        <v>13</v>
      </c>
      <c r="G93" s="2" t="n">
        <v>0.044192</v>
      </c>
      <c r="H93" s="2" t="n">
        <v>0.041518</v>
      </c>
      <c r="I93" s="2" t="n">
        <v>0.051503</v>
      </c>
      <c r="J93" s="2" t="n">
        <v>0.055357</v>
      </c>
      <c r="K93" s="2" t="n">
        <v>0.063578</v>
      </c>
      <c r="L93" s="2" t="n">
        <v>0.07064</v>
      </c>
      <c r="M93" s="2" t="n">
        <v>0.059097</v>
      </c>
      <c r="N93" s="2" t="n">
        <v>0.057927</v>
      </c>
      <c r="O93" s="2" t="n">
        <v>0.05517</v>
      </c>
      <c r="P93" s="2" t="n">
        <v>0.056891</v>
      </c>
    </row>
    <row r="94" customFormat="false" ht="18.55" hidden="false" customHeight="false" outlineLevel="0" collapsed="false">
      <c r="C94" s="1" t="s">
        <v>2</v>
      </c>
      <c r="D94" s="1" t="n">
        <f aca="false">AVERAGE(G94:P94)</f>
        <v>0.0138135</v>
      </c>
      <c r="E94" s="2" t="n">
        <f aca="false">STDEV(G94:P94)</f>
        <v>0.000286600864540837</v>
      </c>
      <c r="F94" s="2" t="s">
        <v>2</v>
      </c>
      <c r="G94" s="2" t="n">
        <v>0.013596</v>
      </c>
      <c r="H94" s="2" t="n">
        <v>0.014123</v>
      </c>
      <c r="I94" s="2" t="n">
        <v>0.013409</v>
      </c>
      <c r="J94" s="2" t="n">
        <v>0.013809</v>
      </c>
      <c r="K94" s="2" t="n">
        <v>0.013902</v>
      </c>
      <c r="L94" s="2" t="n">
        <v>0.014168</v>
      </c>
      <c r="M94" s="2" t="n">
        <v>0.013981</v>
      </c>
      <c r="N94" s="2" t="n">
        <v>0.014117</v>
      </c>
      <c r="O94" s="2" t="n">
        <v>0.013497</v>
      </c>
      <c r="P94" s="2" t="n">
        <v>0.013533</v>
      </c>
    </row>
    <row r="95" customFormat="false" ht="12.8" hidden="false" customHeight="false" outlineLevel="0" collapsed="false">
      <c r="C95" s="2" t="s">
        <v>14</v>
      </c>
      <c r="D95" s="2" t="n">
        <f aca="false">AVERAGE(G95:P95)</f>
        <v>0.0121042</v>
      </c>
      <c r="E95" s="2" t="n">
        <f aca="false">STDEV(G95:P95)</f>
        <v>0.000348823355487177</v>
      </c>
      <c r="F95" s="2" t="s">
        <v>14</v>
      </c>
      <c r="G95" s="2" t="n">
        <v>0.012167</v>
      </c>
      <c r="H95" s="2" t="n">
        <v>0.012545</v>
      </c>
      <c r="I95" s="2" t="n">
        <v>0.011889</v>
      </c>
      <c r="J95" s="2" t="n">
        <v>0.011796</v>
      </c>
      <c r="K95" s="2" t="n">
        <v>0.011951</v>
      </c>
      <c r="L95" s="2" t="n">
        <v>0.012537</v>
      </c>
      <c r="M95" s="2" t="n">
        <v>0.012583</v>
      </c>
      <c r="N95" s="2" t="n">
        <v>0.012151</v>
      </c>
      <c r="O95" s="2" t="n">
        <v>0.011662</v>
      </c>
      <c r="P95" s="2" t="n">
        <v>0.011761</v>
      </c>
    </row>
    <row r="96" customFormat="false" ht="12.8" hidden="false" customHeight="false" outlineLevel="0" collapsed="false">
      <c r="C96" s="2" t="s">
        <v>15</v>
      </c>
      <c r="D96" s="2" t="n">
        <f aca="false">AVERAGE(G96:P96)</f>
        <v>0.0010697</v>
      </c>
      <c r="E96" s="2" t="n">
        <f aca="false">STDEV(G96:P96)</f>
        <v>0.000249515552844129</v>
      </c>
      <c r="F96" s="2" t="s">
        <v>15</v>
      </c>
      <c r="G96" s="2" t="n">
        <v>0.001375</v>
      </c>
      <c r="H96" s="2" t="n">
        <v>0.001005</v>
      </c>
      <c r="I96" s="2" t="n">
        <v>0.000926</v>
      </c>
      <c r="J96" s="2" t="n">
        <v>0.001239</v>
      </c>
      <c r="K96" s="2" t="n">
        <v>0.000725</v>
      </c>
      <c r="L96" s="2" t="n">
        <v>0.000785</v>
      </c>
      <c r="M96" s="2" t="n">
        <v>0.000995</v>
      </c>
      <c r="N96" s="2" t="n">
        <v>0.000932</v>
      </c>
      <c r="O96" s="2" t="n">
        <v>0.001249</v>
      </c>
      <c r="P96" s="2" t="n">
        <v>0.001466</v>
      </c>
    </row>
    <row r="97" customFormat="false" ht="18.55" hidden="false" customHeight="false" outlineLevel="0" collapsed="false">
      <c r="A97" s="0" t="s">
        <v>38</v>
      </c>
      <c r="C97" s="1" t="s">
        <v>17</v>
      </c>
      <c r="D97" s="3" t="n">
        <f aca="false">AVERAGE(G97:P97)</f>
        <v>0.0159352</v>
      </c>
      <c r="E97" s="2" t="n">
        <f aca="false">STDEV(G97:P97)</f>
        <v>0.000353780471793204</v>
      </c>
      <c r="F97" s="2" t="s">
        <v>17</v>
      </c>
      <c r="G97" s="2" t="n">
        <v>0.015571</v>
      </c>
      <c r="H97" s="2" t="n">
        <v>0.016067</v>
      </c>
      <c r="I97" s="2" t="n">
        <v>0.015533</v>
      </c>
      <c r="J97" s="2" t="n">
        <v>0.015977</v>
      </c>
      <c r="K97" s="2" t="n">
        <v>0.016166</v>
      </c>
      <c r="L97" s="2" t="n">
        <v>0.01646</v>
      </c>
      <c r="M97" s="2" t="n">
        <v>0.015968</v>
      </c>
      <c r="N97" s="2" t="n">
        <v>0.01643</v>
      </c>
      <c r="O97" s="2" t="n">
        <v>0.015588</v>
      </c>
      <c r="P97" s="2" t="n">
        <v>0.015592</v>
      </c>
    </row>
    <row r="98" customFormat="false" ht="12.8" hidden="false" customHeight="false" outlineLevel="0" collapsed="false">
      <c r="C98" s="2" t="s">
        <v>18</v>
      </c>
      <c r="D98" s="2" t="n">
        <f aca="false">AVERAGE(G98:P98)</f>
        <v>0.2098361</v>
      </c>
      <c r="E98" s="2" t="n">
        <f aca="false">STDEV(G98:P98)</f>
        <v>0.00933767887468115</v>
      </c>
      <c r="F98" s="2" t="s">
        <v>18</v>
      </c>
      <c r="G98" s="2" t="n">
        <v>0.200272</v>
      </c>
      <c r="H98" s="2" t="n">
        <v>0.213231</v>
      </c>
      <c r="I98" s="2" t="n">
        <v>0.19928</v>
      </c>
      <c r="J98" s="2" t="n">
        <v>0.210845</v>
      </c>
      <c r="K98" s="2" t="n">
        <v>0.215853</v>
      </c>
      <c r="L98" s="2" t="n">
        <v>0.223803</v>
      </c>
      <c r="M98" s="2" t="n">
        <v>0.210601</v>
      </c>
      <c r="N98" s="2" t="n">
        <v>0.222968</v>
      </c>
      <c r="O98" s="2" t="n">
        <v>0.200702</v>
      </c>
      <c r="P98" s="2" t="n">
        <v>0.200806</v>
      </c>
    </row>
    <row r="99" customFormat="false" ht="18.55" hidden="false" customHeight="false" outlineLevel="0" collapsed="false">
      <c r="C99" s="1" t="s">
        <v>3</v>
      </c>
      <c r="D99" s="1" t="n">
        <f aca="false">AVERAGE(G99:P99)</f>
        <v>0.0079415</v>
      </c>
      <c r="E99" s="2" t="n">
        <f aca="false">STDEV(G99:P99)</f>
        <v>0.000304424867578192</v>
      </c>
      <c r="F99" s="2" t="s">
        <v>3</v>
      </c>
      <c r="G99" s="2" t="n">
        <v>0.00759</v>
      </c>
      <c r="H99" s="2" t="n">
        <v>0.007661</v>
      </c>
      <c r="I99" s="2" t="n">
        <v>0.00784</v>
      </c>
      <c r="J99" s="2" t="n">
        <v>0.008036</v>
      </c>
      <c r="K99" s="2" t="n">
        <v>0.008249</v>
      </c>
      <c r="L99" s="2" t="n">
        <v>0.008379</v>
      </c>
      <c r="M99" s="2" t="n">
        <v>0.007713</v>
      </c>
      <c r="N99" s="2" t="n">
        <v>0.008405</v>
      </c>
      <c r="O99" s="2" t="n">
        <v>0.007798</v>
      </c>
      <c r="P99" s="2" t="n">
        <v>0.007744</v>
      </c>
    </row>
    <row r="102" customFormat="false" ht="18.55" hidden="false" customHeight="false" outlineLevel="0" collapsed="false">
      <c r="C102" s="1"/>
    </row>
    <row r="103" customFormat="false" ht="12.8" hidden="false" customHeight="false" outlineLevel="0" collapsed="false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customFormat="false" ht="12.8" hidden="false" customHeight="false" outlineLevel="0" collapsed="false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customFormat="false" ht="18.55" hidden="false" customHeight="false" outlineLevel="0" collapsed="false"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customFormat="false" ht="12.8" hidden="false" customHeight="false" outlineLevel="0" collapsed="false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customFormat="false" ht="12.8" hidden="false" customHeight="false" outlineLevel="0" collapsed="false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customFormat="false" ht="18.55" hidden="false" customHeight="false" outlineLevel="0" collapsed="false">
      <c r="B108" s="7"/>
      <c r="C108" s="1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customFormat="false" ht="12.8" hidden="false" customHeight="false" outlineLevel="0" collapsed="false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customFormat="false" ht="18.55" hidden="false" customHeight="false" outlineLevel="0" collapsed="false"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3" customFormat="false" ht="18.55" hidden="false" customHeight="false" outlineLevel="0" collapsed="false">
      <c r="C113" s="1"/>
    </row>
    <row r="114" customFormat="false" ht="12.8" hidden="false" customHeight="false" outlineLevel="0" collapsed="false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customFormat="false" ht="12.8" hidden="false" customHeight="false" outlineLevel="0" collapsed="false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customFormat="false" ht="18.55" hidden="false" customHeight="false" outlineLevel="0" collapsed="false"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customFormat="false" ht="12.8" hidden="false" customHeight="false" outlineLevel="0" collapsed="false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customFormat="false" ht="12.8" hidden="false" customHeight="false" outlineLevel="0" collapsed="false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customFormat="false" ht="18.55" hidden="false" customHeight="false" outlineLevel="0" collapsed="false">
      <c r="B119" s="7"/>
      <c r="C119" s="1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customFormat="false" ht="12.8" hidden="false" customHeight="false" outlineLevel="0" collapsed="false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customFormat="false" ht="18.55" hidden="false" customHeight="false" outlineLevel="0" collapsed="false"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4" customFormat="false" ht="18.55" hidden="false" customHeight="false" outlineLevel="0" collapsed="false">
      <c r="C124" s="1"/>
    </row>
    <row r="125" customFormat="false" ht="12.8" hidden="false" customHeight="false" outlineLevel="0" collapsed="false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customFormat="false" ht="12.8" hidden="false" customHeight="false" outlineLevel="0" collapsed="false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customFormat="false" ht="18.55" hidden="false" customHeight="false" outlineLevel="0" collapsed="false"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customFormat="false" ht="12.8" hidden="false" customHeight="false" outlineLevel="0" collapsed="false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customFormat="false" ht="12.8" hidden="false" customHeight="false" outlineLevel="0" collapsed="false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customFormat="false" ht="18.55" hidden="false" customHeight="false" outlineLevel="0" collapsed="false">
      <c r="C130" s="1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customFormat="false" ht="12.8" hidden="false" customHeight="false" outlineLevel="0" collapsed="false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customFormat="false" ht="18.55" hidden="false" customHeight="false" outlineLevel="0" collapsed="false"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5" customFormat="false" ht="18.55" hidden="false" customHeight="false" outlineLevel="0" collapsed="false">
      <c r="C135" s="1"/>
    </row>
    <row r="136" customFormat="false" ht="12.8" hidden="false" customHeight="false" outlineLevel="0" collapsed="false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customFormat="false" ht="12.8" hidden="false" customHeight="false" outlineLevel="0" collapsed="false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customFormat="false" ht="18.55" hidden="false" customHeight="false" outlineLevel="0" collapsed="false"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customFormat="false" ht="12.8" hidden="false" customHeight="false" outlineLevel="0" collapsed="false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customFormat="false" ht="12.8" hidden="false" customHeight="false" outlineLevel="0" collapsed="false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customFormat="false" ht="18.55" hidden="false" customHeight="false" outlineLevel="0" collapsed="false">
      <c r="C141" s="1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customFormat="false" ht="12.8" hidden="false" customHeight="false" outlineLevel="0" collapsed="false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customFormat="false" ht="18.55" hidden="false" customHeight="false" outlineLevel="0" collapsed="false"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6" customFormat="false" ht="18.55" hidden="false" customHeight="false" outlineLevel="0" collapsed="false">
      <c r="C146" s="1"/>
    </row>
    <row r="147" customFormat="false" ht="12.8" hidden="false" customHeight="false" outlineLevel="0" collapsed="false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customFormat="false" ht="12.8" hidden="false" customHeight="false" outlineLevel="0" collapsed="false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customFormat="false" ht="18.55" hidden="false" customHeight="false" outlineLevel="0" collapsed="false"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customFormat="false" ht="12.8" hidden="false" customHeight="false" outlineLevel="0" collapsed="false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customFormat="false" ht="12.8" hidden="false" customHeight="false" outlineLevel="0" collapsed="false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customFormat="false" ht="18.55" hidden="false" customHeight="false" outlineLevel="0" collapsed="false">
      <c r="B152" s="7"/>
      <c r="C152" s="1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customFormat="false" ht="12.8" hidden="false" customHeight="false" outlineLevel="0" collapsed="false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customFormat="false" ht="18.55" hidden="false" customHeight="false" outlineLevel="0" collapsed="false"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7" customFormat="false" ht="23.1" hidden="false" customHeight="false" outlineLevel="0" collapsed="false">
      <c r="C157" s="1"/>
    </row>
    <row r="158" customFormat="false" ht="12.8" hidden="false" customHeight="false" outlineLevel="0" collapsed="false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customFormat="false" ht="12.8" hidden="false" customHeight="false" outlineLevel="0" collapsed="false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customFormat="false" ht="18.55" hidden="false" customHeight="false" outlineLevel="0" collapsed="false"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customFormat="false" ht="12.8" hidden="false" customHeight="false" outlineLevel="0" collapsed="false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customFormat="false" ht="12.8" hidden="false" customHeight="false" outlineLevel="0" collapsed="false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customFormat="false" ht="18.55" hidden="false" customHeight="false" outlineLevel="0" collapsed="false">
      <c r="B163" s="7"/>
      <c r="C163" s="1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customFormat="false" ht="12.8" hidden="false" customHeight="false" outlineLevel="0" collapsed="false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customFormat="false" ht="18.55" hidden="false" customHeight="false" outlineLevel="0" collapsed="false"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customFormat="false" ht="18.55" hidden="false" customHeight="false" outlineLevel="0" collapsed="false"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customFormat="false" ht="18.55" hidden="false" customHeight="false" outlineLevel="0" collapsed="false"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70" customFormat="false" ht="12.8" hidden="false" customHeight="false" outlineLevel="0" collapsed="false">
      <c r="C170" s="2"/>
    </row>
    <row r="171" customFormat="false" ht="18.55" hidden="false" customHeight="false" outlineLevel="0" collapsed="false">
      <c r="C171" s="1"/>
    </row>
    <row r="172" customFormat="false" ht="12.8" hidden="false" customHeight="false" outlineLevel="0" collapsed="false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customFormat="false" ht="12.8" hidden="false" customHeight="false" outlineLevel="0" collapsed="false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customFormat="false" ht="18.55" hidden="false" customHeight="false" outlineLevel="0" collapsed="false"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customFormat="false" ht="12.8" hidden="false" customHeight="false" outlineLevel="0" collapsed="false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customFormat="false" ht="12.8" hidden="false" customHeight="false" outlineLevel="0" collapsed="false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customFormat="false" ht="18.55" hidden="false" customHeight="false" outlineLevel="0" collapsed="false">
      <c r="C177" s="1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customFormat="false" ht="12.8" hidden="false" customHeight="false" outlineLevel="0" collapsed="false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customFormat="false" ht="18.55" hidden="false" customHeight="false" outlineLevel="0" collapsed="false"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2" customFormat="false" ht="18.55" hidden="false" customHeight="false" outlineLevel="0" collapsed="false">
      <c r="C182" s="1"/>
    </row>
    <row r="183" customFormat="false" ht="12.8" hidden="false" customHeight="false" outlineLevel="0" collapsed="false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customFormat="false" ht="12.8" hidden="false" customHeight="false" outlineLevel="0" collapsed="false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customFormat="false" ht="18.55" hidden="false" customHeight="false" outlineLevel="0" collapsed="false"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customFormat="false" ht="12.8" hidden="false" customHeight="false" outlineLevel="0" collapsed="false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customFormat="false" ht="12.8" hidden="false" customHeight="false" outlineLevel="0" collapsed="false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customFormat="false" ht="18.55" hidden="false" customHeight="false" outlineLevel="0" collapsed="false">
      <c r="C188" s="1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customFormat="false" ht="12.8" hidden="false" customHeight="false" outlineLevel="0" collapsed="false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customFormat="false" ht="18.55" hidden="false" customHeight="false" outlineLevel="0" collapsed="false"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3" customFormat="false" ht="18.55" hidden="false" customHeight="false" outlineLevel="0" collapsed="false">
      <c r="C193" s="1"/>
    </row>
    <row r="194" customFormat="false" ht="12.8" hidden="false" customHeight="false" outlineLevel="0" collapsed="false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customFormat="false" ht="12.8" hidden="false" customHeight="false" outlineLevel="0" collapsed="false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customFormat="false" ht="18.55" hidden="false" customHeight="false" outlineLevel="0" collapsed="false"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customFormat="false" ht="12.8" hidden="false" customHeight="false" outlineLevel="0" collapsed="false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customFormat="false" ht="12.8" hidden="false" customHeight="false" outlineLevel="0" collapsed="false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customFormat="false" ht="18.55" hidden="false" customHeight="false" outlineLevel="0" collapsed="false">
      <c r="C199" s="1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customFormat="false" ht="12.8" hidden="false" customHeight="false" outlineLevel="0" collapsed="false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customFormat="false" ht="18.55" hidden="false" customHeight="false" outlineLevel="0" collapsed="false"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4" customFormat="false" ht="18.55" hidden="false" customHeight="false" outlineLevel="0" collapsed="false">
      <c r="C204" s="1"/>
    </row>
    <row r="205" customFormat="false" ht="12.8" hidden="false" customHeight="false" outlineLevel="0" collapsed="false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customFormat="false" ht="12.8" hidden="false" customHeight="false" outlineLevel="0" collapsed="false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customFormat="false" ht="18.55" hidden="false" customHeight="false" outlineLevel="0" collapsed="false"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customFormat="false" ht="12.8" hidden="false" customHeight="false" outlineLevel="0" collapsed="false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customFormat="false" ht="12.8" hidden="false" customHeight="false" outlineLevel="0" collapsed="false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customFormat="false" ht="18.55" hidden="false" customHeight="false" outlineLevel="0" collapsed="false">
      <c r="C210" s="1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customFormat="false" ht="12.8" hidden="false" customHeight="false" outlineLevel="0" collapsed="false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customFormat="false" ht="18.55" hidden="false" customHeight="false" outlineLevel="0" collapsed="false"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5" customFormat="false" ht="18.55" hidden="false" customHeight="false" outlineLevel="0" collapsed="false">
      <c r="C215" s="1"/>
    </row>
    <row r="216" customFormat="false" ht="12.8" hidden="false" customHeight="false" outlineLevel="0" collapsed="false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customFormat="false" ht="12.8" hidden="false" customHeight="false" outlineLevel="0" collapsed="false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customFormat="false" ht="18.55" hidden="false" customHeight="false" outlineLevel="0" collapsed="false"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customFormat="false" ht="12.8" hidden="false" customHeight="false" outlineLevel="0" collapsed="false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customFormat="false" ht="12.8" hidden="false" customHeight="false" outlineLevel="0" collapsed="false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customFormat="false" ht="18.55" hidden="false" customHeight="false" outlineLevel="0" collapsed="false">
      <c r="C221" s="1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customFormat="false" ht="12.8" hidden="false" customHeight="false" outlineLevel="0" collapsed="false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customFormat="false" ht="18.55" hidden="false" customHeight="false" outlineLevel="0" collapsed="false"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6" customFormat="false" ht="18.55" hidden="false" customHeight="false" outlineLevel="0" collapsed="false">
      <c r="C226" s="1"/>
    </row>
    <row r="227" customFormat="false" ht="12.8" hidden="false" customHeight="false" outlineLevel="0" collapsed="false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customFormat="false" ht="12.8" hidden="false" customHeight="false" outlineLevel="0" collapsed="false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customFormat="false" ht="18.55" hidden="false" customHeight="false" outlineLevel="0" collapsed="false"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customFormat="false" ht="12.8" hidden="false" customHeight="false" outlineLevel="0" collapsed="false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customFormat="false" ht="12.8" hidden="false" customHeight="false" outlineLevel="0" collapsed="false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customFormat="false" ht="18.55" hidden="false" customHeight="false" outlineLevel="0" collapsed="false">
      <c r="C232" s="1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customFormat="false" ht="12.8" hidden="false" customHeight="false" outlineLevel="0" collapsed="false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customFormat="false" ht="18.55" hidden="false" customHeight="false" outlineLevel="0" collapsed="false"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7" customFormat="false" ht="18.55" hidden="false" customHeight="false" outlineLevel="0" collapsed="false">
      <c r="C237" s="1"/>
    </row>
    <row r="238" customFormat="false" ht="12.8" hidden="false" customHeight="false" outlineLevel="0" collapsed="false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customFormat="false" ht="12.8" hidden="false" customHeight="false" outlineLevel="0" collapsed="false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customFormat="false" ht="18.55" hidden="false" customHeight="false" outlineLevel="0" collapsed="false"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customFormat="false" ht="12.8" hidden="false" customHeight="false" outlineLevel="0" collapsed="false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customFormat="false" ht="12.8" hidden="false" customHeight="false" outlineLevel="0" collapsed="false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customFormat="false" ht="18.55" hidden="false" customHeight="false" outlineLevel="0" collapsed="false">
      <c r="C243" s="1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customFormat="false" ht="12.8" hidden="false" customHeight="false" outlineLevel="0" collapsed="false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customFormat="false" ht="18.55" hidden="false" customHeight="false" outlineLevel="0" collapsed="false"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8" customFormat="false" ht="18.55" hidden="false" customHeight="false" outlineLevel="0" collapsed="false">
      <c r="C248" s="1"/>
    </row>
    <row r="249" customFormat="false" ht="12.8" hidden="false" customHeight="false" outlineLevel="0" collapsed="false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customFormat="false" ht="12.8" hidden="false" customHeight="false" outlineLevel="0" collapsed="false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customFormat="false" ht="18.55" hidden="false" customHeight="false" outlineLevel="0" collapsed="false"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customFormat="false" ht="12.8" hidden="false" customHeight="false" outlineLevel="0" collapsed="false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customFormat="false" ht="12.8" hidden="false" customHeight="false" outlineLevel="0" collapsed="false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customFormat="false" ht="18.55" hidden="false" customHeight="false" outlineLevel="0" collapsed="false">
      <c r="C254" s="1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customFormat="false" ht="12.8" hidden="false" customHeight="false" outlineLevel="0" collapsed="false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customFormat="false" ht="18.55" hidden="false" customHeight="false" outlineLevel="0" collapsed="false"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9" customFormat="false" ht="18.55" hidden="false" customHeight="false" outlineLevel="0" collapsed="false">
      <c r="C259" s="1"/>
    </row>
    <row r="260" customFormat="false" ht="12.8" hidden="false" customHeight="false" outlineLevel="0" collapsed="false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customFormat="false" ht="12.8" hidden="false" customHeight="false" outlineLevel="0" collapsed="false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customFormat="false" ht="18.55" hidden="false" customHeight="false" outlineLevel="0" collapsed="false"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customFormat="false" ht="12.8" hidden="false" customHeight="false" outlineLevel="0" collapsed="false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customFormat="false" ht="12.8" hidden="false" customHeight="false" outlineLevel="0" collapsed="false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customFormat="false" ht="18.55" hidden="false" customHeight="false" outlineLevel="0" collapsed="false">
      <c r="C265" s="1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customFormat="false" ht="12.8" hidden="false" customHeight="false" outlineLevel="0" collapsed="false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customFormat="false" ht="18.55" hidden="false" customHeight="false" outlineLevel="0" collapsed="false"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72" customFormat="false" ht="23.1" hidden="false" customHeight="false" outlineLevel="0" collapsed="false">
      <c r="C272" s="1"/>
    </row>
    <row r="273" customFormat="false" ht="12.8" hidden="false" customHeight="false" outlineLevel="0" collapsed="false">
      <c r="C273" s="2"/>
      <c r="D273" s="2"/>
      <c r="E273" s="2"/>
      <c r="F273" s="2"/>
      <c r="G273" s="2"/>
      <c r="H273" s="2"/>
      <c r="I273" s="2"/>
      <c r="J273" s="2"/>
      <c r="L273" s="2"/>
      <c r="M273" s="2"/>
      <c r="N273" s="2"/>
      <c r="O273" s="2"/>
      <c r="P273" s="2"/>
    </row>
    <row r="274" customFormat="false" ht="12.8" hidden="false" customHeight="false" outlineLevel="0" collapsed="false">
      <c r="C274" s="2"/>
      <c r="D274" s="2"/>
      <c r="E274" s="2"/>
      <c r="F274" s="2"/>
      <c r="G274" s="2"/>
      <c r="H274" s="2"/>
      <c r="I274" s="2"/>
      <c r="J274" s="2"/>
      <c r="L274" s="2"/>
      <c r="M274" s="2"/>
      <c r="N274" s="2"/>
      <c r="O274" s="2"/>
      <c r="P274" s="2"/>
    </row>
    <row r="275" customFormat="false" ht="18.55" hidden="false" customHeight="false" outlineLevel="0" collapsed="false">
      <c r="C275" s="1"/>
      <c r="D275" s="1"/>
      <c r="E275" s="2"/>
      <c r="F275" s="2"/>
      <c r="G275" s="2"/>
      <c r="H275" s="2"/>
      <c r="I275" s="2"/>
      <c r="J275" s="2"/>
      <c r="L275" s="2"/>
      <c r="M275" s="2"/>
      <c r="N275" s="2"/>
      <c r="O275" s="2"/>
      <c r="P275" s="2"/>
    </row>
    <row r="276" customFormat="false" ht="12.8" hidden="false" customHeight="false" outlineLevel="0" collapsed="false">
      <c r="C276" s="2"/>
      <c r="D276" s="2"/>
      <c r="E276" s="2"/>
      <c r="F276" s="2"/>
      <c r="G276" s="2"/>
      <c r="H276" s="2"/>
      <c r="I276" s="2"/>
      <c r="J276" s="2"/>
      <c r="L276" s="2"/>
      <c r="M276" s="2"/>
      <c r="N276" s="2"/>
      <c r="O276" s="2"/>
      <c r="P276" s="2"/>
    </row>
    <row r="277" customFormat="false" ht="12.8" hidden="false" customHeight="false" outlineLevel="0" collapsed="false">
      <c r="C277" s="2"/>
      <c r="D277" s="2"/>
      <c r="E277" s="2"/>
      <c r="F277" s="2"/>
      <c r="G277" s="2"/>
      <c r="H277" s="2"/>
      <c r="I277" s="2"/>
      <c r="J277" s="2"/>
      <c r="L277" s="2"/>
      <c r="M277" s="2"/>
      <c r="N277" s="2"/>
      <c r="O277" s="2"/>
      <c r="P277" s="2"/>
    </row>
    <row r="278" customFormat="false" ht="18.55" hidden="false" customHeight="false" outlineLevel="0" collapsed="false">
      <c r="B278" s="7"/>
      <c r="C278" s="1"/>
      <c r="D278" s="3"/>
      <c r="E278" s="2"/>
      <c r="F278" s="2"/>
      <c r="G278" s="2"/>
      <c r="H278" s="2"/>
      <c r="I278" s="2"/>
      <c r="J278" s="2"/>
      <c r="L278" s="2"/>
      <c r="M278" s="2"/>
      <c r="N278" s="2"/>
      <c r="O278" s="2"/>
      <c r="P278" s="2"/>
    </row>
    <row r="279" customFormat="false" ht="12.8" hidden="false" customHeight="false" outlineLevel="0" collapsed="false">
      <c r="C279" s="2"/>
      <c r="D279" s="2"/>
      <c r="E279" s="2"/>
      <c r="F279" s="2"/>
      <c r="G279" s="2"/>
      <c r="H279" s="2"/>
      <c r="I279" s="2"/>
      <c r="J279" s="2"/>
      <c r="L279" s="2"/>
      <c r="M279" s="2"/>
      <c r="N279" s="2"/>
      <c r="O279" s="2"/>
      <c r="P279" s="2"/>
    </row>
    <row r="280" customFormat="false" ht="18.55" hidden="false" customHeight="false" outlineLevel="0" collapsed="false">
      <c r="C280" s="1"/>
      <c r="D280" s="1"/>
      <c r="E280" s="2"/>
      <c r="F280" s="2"/>
      <c r="G280" s="2"/>
      <c r="H280" s="2"/>
      <c r="I280" s="2"/>
      <c r="J280" s="2"/>
      <c r="L280" s="2"/>
      <c r="M280" s="2"/>
      <c r="N280" s="2"/>
      <c r="O280" s="2"/>
      <c r="P280" s="2"/>
    </row>
    <row r="281" customFormat="false" ht="18.55" hidden="false" customHeight="false" outlineLevel="0" collapsed="false"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customFormat="false" ht="18.55" hidden="false" customHeight="false" outlineLevel="0" collapsed="false"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5" customFormat="false" ht="23.1" hidden="false" customHeight="false" outlineLevel="0" collapsed="false">
      <c r="C285" s="1"/>
    </row>
    <row r="286" customFormat="false" ht="12.8" hidden="false" customHeight="false" outlineLevel="0" collapsed="false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customFormat="false" ht="12.8" hidden="false" customHeight="false" outlineLevel="0" collapsed="false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customFormat="false" ht="18.55" hidden="false" customHeight="false" outlineLevel="0" collapsed="false"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customFormat="false" ht="12.8" hidden="false" customHeight="false" outlineLevel="0" collapsed="false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customFormat="false" ht="12.8" hidden="false" customHeight="false" outlineLevel="0" collapsed="false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customFormat="false" ht="18.55" hidden="false" customHeight="false" outlineLevel="0" collapsed="false">
      <c r="B291" s="7"/>
      <c r="C291" s="1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customFormat="false" ht="12.8" hidden="false" customHeight="false" outlineLevel="0" collapsed="false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customFormat="false" ht="18.55" hidden="false" customHeight="false" outlineLevel="0" collapsed="false"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6" customFormat="false" ht="23.1" hidden="false" customHeight="false" outlineLevel="0" collapsed="false">
      <c r="C296" s="1"/>
    </row>
    <row r="297" customFormat="false" ht="12.8" hidden="false" customHeight="false" outlineLevel="0" collapsed="false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customFormat="false" ht="12.8" hidden="false" customHeight="false" outlineLevel="0" collapsed="false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customFormat="false" ht="18.55" hidden="false" customHeight="false" outlineLevel="0" collapsed="false"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customFormat="false" ht="12.8" hidden="false" customHeight="false" outlineLevel="0" collapsed="false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customFormat="false" ht="12.8" hidden="false" customHeight="false" outlineLevel="0" collapsed="false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customFormat="false" ht="18.55" hidden="false" customHeight="false" outlineLevel="0" collapsed="false"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customFormat="false" ht="12.8" hidden="false" customHeight="false" outlineLevel="0" collapsed="false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customFormat="false" ht="18.55" hidden="false" customHeight="false" outlineLevel="0" collapsed="false"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2026-03-24T23:54:22Z</dcterms:created>
  <dc:creator/>
  <dc:description/>
  <dc:language>en-US</dc:language>
  <cp:lastModifiedBy/>
  <dcterms:modified xsi:type="dcterms:W3CDTF">2026-05-08T18:05:53Z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